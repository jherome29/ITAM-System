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cho\Desktop\FORMS\"/>
    </mc:Choice>
  </mc:AlternateContent>
  <xr:revisionPtr revIDLastSave="0" documentId="8_{6E23E778-C998-4233-AF1C-5478639D5923}" xr6:coauthVersionLast="47" xr6:coauthVersionMax="47" xr10:uidLastSave="{00000000-0000-0000-0000-000000000000}"/>
  <bookViews>
    <workbookView xWindow="-120" yWindow="-120" windowWidth="29040" windowHeight="15720" firstSheet="9" activeTab="9" xr2:uid="{B80C0823-DC83-4159-A7C1-E3AB805AA95F}"/>
  </bookViews>
  <sheets>
    <sheet name="January" sheetId="1" state="hidden" r:id="rId1"/>
    <sheet name="February" sheetId="3" state="hidden" r:id="rId2"/>
    <sheet name="April" sheetId="15" state="hidden" r:id="rId3"/>
    <sheet name="June" sheetId="6" state="hidden" r:id="rId4"/>
    <sheet name="July" sheetId="8" state="hidden" r:id="rId5"/>
    <sheet name="August" sheetId="9" state="hidden" r:id="rId6"/>
    <sheet name="September" sheetId="16" state="hidden" r:id="rId7"/>
    <sheet name="October" sheetId="11" state="hidden" r:id="rId8"/>
    <sheet name="November" sheetId="12" state="hidden" r:id="rId9"/>
    <sheet name="December" sheetId="13" r:id="rId10"/>
  </sheets>
  <definedNames>
    <definedName name="_xlnm.Print_Area" localSheetId="2">April!$A$1:$H$43</definedName>
    <definedName name="_xlnm.Print_Area" localSheetId="5">August!$A$1:$H$57</definedName>
    <definedName name="_xlnm.Print_Area" localSheetId="9">December!$A$1:$H$59</definedName>
    <definedName name="_xlnm.Print_Area" localSheetId="1">February!$A$1:$I$75</definedName>
    <definedName name="_xlnm.Print_Area" localSheetId="0">January!$A$1:$I$62</definedName>
    <definedName name="_xlnm.Print_Area" localSheetId="4">July!$A$1:$I$66</definedName>
    <definedName name="_xlnm.Print_Area" localSheetId="3">June!$A$1:$I$70</definedName>
    <definedName name="_xlnm.Print_Area" localSheetId="8">November!$A$1:$I$56</definedName>
    <definedName name="_xlnm.Print_Area" localSheetId="7">October!$A$1:$I$58</definedName>
    <definedName name="_xlnm.Print_Area" localSheetId="6">September!$A$1:$H$58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3" l="1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34" i="13"/>
  <c r="C33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34" i="13"/>
  <c r="B33" i="13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C32" i="12"/>
  <c r="B32" i="12"/>
  <c r="C31" i="12"/>
  <c r="B3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26" i="12"/>
  <c r="H25" i="12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C34" i="11"/>
  <c r="B34" i="11"/>
  <c r="C33" i="11"/>
  <c r="B33" i="11"/>
  <c r="H24" i="11"/>
  <c r="H23" i="11"/>
  <c r="H20" i="11"/>
  <c r="H19" i="11"/>
  <c r="H18" i="11" l="1"/>
  <c r="H17" i="11"/>
  <c r="H22" i="11"/>
  <c r="H21" i="11"/>
  <c r="H25" i="11"/>
  <c r="H26" i="11"/>
  <c r="H7" i="11"/>
  <c r="H25" i="16"/>
  <c r="C52" i="16" l="1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H27" i="16"/>
  <c r="H26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C33" i="9"/>
  <c r="B33" i="9"/>
  <c r="H25" i="9"/>
  <c r="H24" i="9"/>
  <c r="H23" i="9"/>
  <c r="H22" i="9"/>
  <c r="H21" i="9"/>
  <c r="H29" i="16" l="1"/>
  <c r="H26" i="9"/>
  <c r="H20" i="9"/>
  <c r="H17" i="9"/>
  <c r="H15" i="9"/>
  <c r="H9" i="9"/>
  <c r="H10" i="9"/>
  <c r="H11" i="9"/>
  <c r="H8" i="9"/>
  <c r="H12" i="9"/>
  <c r="H13" i="9"/>
  <c r="H14" i="9"/>
  <c r="H16" i="9"/>
  <c r="H18" i="9"/>
  <c r="H19" i="9"/>
  <c r="H7" i="9"/>
  <c r="C32" i="9"/>
  <c r="B32" i="9"/>
  <c r="H28" i="9" l="1"/>
  <c r="C51" i="8"/>
  <c r="C39" i="8" l="1"/>
  <c r="C40" i="8"/>
  <c r="C41" i="8"/>
  <c r="C42" i="8"/>
  <c r="C43" i="8"/>
  <c r="C44" i="8"/>
  <c r="C45" i="8"/>
  <c r="C46" i="8"/>
  <c r="C47" i="8"/>
  <c r="C48" i="8"/>
  <c r="C49" i="8"/>
  <c r="C50" i="8"/>
  <c r="C52" i="8"/>
  <c r="C53" i="8"/>
  <c r="C54" i="8"/>
  <c r="C55" i="8"/>
  <c r="C56" i="8"/>
  <c r="C57" i="8"/>
  <c r="C58" i="8"/>
  <c r="C59" i="8"/>
  <c r="C60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C38" i="8"/>
  <c r="B38" i="8"/>
  <c r="C37" i="8"/>
  <c r="B37" i="8"/>
  <c r="C36" i="8"/>
  <c r="B36" i="8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8" i="6"/>
  <c r="H7" i="6"/>
  <c r="C60" i="6" l="1"/>
  <c r="B60" i="6"/>
  <c r="C59" i="6"/>
  <c r="B59" i="6"/>
  <c r="C62" i="6"/>
  <c r="B62" i="6"/>
  <c r="C61" i="6"/>
  <c r="B61" i="6"/>
  <c r="H34" i="6" l="1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63" i="6"/>
  <c r="C64" i="6"/>
  <c r="C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63" i="6"/>
  <c r="B64" i="6"/>
  <c r="B65" i="6"/>
  <c r="B39" i="6"/>
  <c r="C38" i="6"/>
  <c r="B38" i="6"/>
  <c r="H8" i="15"/>
  <c r="H9" i="15"/>
  <c r="H10" i="15"/>
  <c r="H11" i="15"/>
  <c r="H12" i="15"/>
  <c r="H13" i="15"/>
  <c r="H14" i="15"/>
  <c r="H15" i="15"/>
  <c r="H16" i="15"/>
  <c r="H17" i="15"/>
  <c r="H18" i="15"/>
  <c r="H19" i="15"/>
  <c r="H7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H21" i="15" l="1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C41" i="3"/>
  <c r="B41" i="3"/>
  <c r="H37" i="3"/>
  <c r="H30" i="1"/>
  <c r="H16" i="11" l="1"/>
  <c r="H15" i="11"/>
  <c r="H14" i="11"/>
  <c r="H9" i="11"/>
  <c r="H8" i="11"/>
</calcChain>
</file>

<file path=xl/sharedStrings.xml><?xml version="1.0" encoding="utf-8"?>
<sst xmlns="http://schemas.openxmlformats.org/spreadsheetml/2006/main" count="1343" uniqueCount="487">
  <si>
    <t>Appendix 64</t>
  </si>
  <si>
    <t xml:space="preserve"> REPORT OF SUPPLIES AND MATERIALS ISSUED </t>
  </si>
  <si>
    <t>CYBERCRIME INVESTIGATION AND COORDINATING CENTER</t>
  </si>
  <si>
    <t xml:space="preserve">Serial No. : </t>
  </si>
  <si>
    <t xml:space="preserve">Fund Cluster: </t>
  </si>
  <si>
    <t>CICC</t>
  </si>
  <si>
    <t>Date :</t>
  </si>
  <si>
    <t>To be filled up by the Supply and/or Property Division/Unit</t>
  </si>
  <si>
    <t>To be filled up by the Accounting Division/Unit</t>
  </si>
  <si>
    <t>RIS No.</t>
  </si>
  <si>
    <t xml:space="preserve">Responsibility Center Code </t>
  </si>
  <si>
    <t>Stock No.</t>
  </si>
  <si>
    <t>Item</t>
  </si>
  <si>
    <t>Unit</t>
  </si>
  <si>
    <t>Quantity Issued</t>
  </si>
  <si>
    <t>Unit Cost</t>
  </si>
  <si>
    <t>Amount</t>
  </si>
  <si>
    <t>SIMULATED</t>
  </si>
  <si>
    <t>PIECE</t>
  </si>
  <si>
    <t>BOTTLE</t>
  </si>
  <si>
    <t>ROLL</t>
  </si>
  <si>
    <t>PACK</t>
  </si>
  <si>
    <t>ROTS0003-01</t>
  </si>
  <si>
    <t xml:space="preserve">ALCOHOL </t>
  </si>
  <si>
    <t>ROTS0008-02</t>
  </si>
  <si>
    <t>ROTS0016-02</t>
  </si>
  <si>
    <t>ROTS0019-01</t>
  </si>
  <si>
    <t>CAN</t>
  </si>
  <si>
    <t>ROTS0038-01</t>
  </si>
  <si>
    <t>ROTS0041-01</t>
  </si>
  <si>
    <t>DETERGENT BAR</t>
  </si>
  <si>
    <t>ROTS0070-01</t>
  </si>
  <si>
    <t>ROTS0091-01</t>
  </si>
  <si>
    <t>Recapitulation:</t>
  </si>
  <si>
    <t>Quantity</t>
  </si>
  <si>
    <t>Total Cost</t>
  </si>
  <si>
    <t>UACS Object Code</t>
  </si>
  <si>
    <t>Posted by:</t>
  </si>
  <si>
    <t xml:space="preserve">         I hereby certify to the correctness of the above information.</t>
  </si>
  <si>
    <t>_________________________</t>
  </si>
  <si>
    <t>___________</t>
  </si>
  <si>
    <t>KAHLIL V. LABASTILLA
Signature over Printed Name of Supply and/or Property Custodian</t>
  </si>
  <si>
    <t>CLIVER CRITZ C. MALUCAY 
Signature over Printed Name of Designated Accounting Staff</t>
  </si>
  <si>
    <t>Date</t>
  </si>
  <si>
    <t>MOUSE WIRELESS, A4 TECH</t>
  </si>
  <si>
    <t>ALCOHOL</t>
  </si>
  <si>
    <t>TOILET TISSUE PAPER</t>
  </si>
  <si>
    <t>ROTS0017-01</t>
  </si>
  <si>
    <t>ROTS0090-01</t>
  </si>
  <si>
    <t>2-IPD</t>
  </si>
  <si>
    <t>ROTS0012-05</t>
  </si>
  <si>
    <t>TRASH BAG XXL</t>
  </si>
  <si>
    <t>ROTS0014-02</t>
  </si>
  <si>
    <t>DISHWASHING LIQUID 1L</t>
  </si>
  <si>
    <t>GALLON</t>
  </si>
  <si>
    <t xml:space="preserve">FURNITURE CLEANER </t>
  </si>
  <si>
    <t>1-CPPCO</t>
  </si>
  <si>
    <t xml:space="preserve">HAND SANITIZER </t>
  </si>
  <si>
    <t>FLASH DRIVE 64GB</t>
  </si>
  <si>
    <t>TRASHBAG XXL</t>
  </si>
  <si>
    <t>TOTAL:</t>
  </si>
  <si>
    <t>TOTAL</t>
  </si>
  <si>
    <t>ROTS0039-01</t>
  </si>
  <si>
    <t>MOP HEAD</t>
  </si>
  <si>
    <t>5-AFO UTILITY</t>
  </si>
  <si>
    <t xml:space="preserve"> </t>
  </si>
  <si>
    <t>2025-01-0003
2025-01-0004
2025-01-0005
2025-01-0006
2025-01-0008
2025-01-0009
2025-01-0012
2025-01-0014
2025-01-0016
2025-01-0020
2025-01-0024</t>
  </si>
  <si>
    <t>4-IPD
5-FINANCE
1-OED IAT
2-AFO
4-OED IARC
2-PMS BAC SEC
3-OED MIST
4-ADMIN
2-OED
1-COA
4-OED NCH</t>
  </si>
  <si>
    <t>ROTS0007-01</t>
  </si>
  <si>
    <t>DISINFECTANT SPRAY</t>
  </si>
  <si>
    <t>2025-01-0024</t>
  </si>
  <si>
    <t>9-OED NCH</t>
  </si>
  <si>
    <t xml:space="preserve">BLEACH </t>
  </si>
  <si>
    <t>5-OED NCH</t>
  </si>
  <si>
    <t>ROTS0009-02</t>
  </si>
  <si>
    <t>GLASS CLEANER</t>
  </si>
  <si>
    <t>1-OED NCH</t>
  </si>
  <si>
    <t>ROTS0010-02</t>
  </si>
  <si>
    <t>10-OED NCH</t>
  </si>
  <si>
    <t>DETERGENT POWDER 1KG</t>
  </si>
  <si>
    <t>ROTS0012-01</t>
  </si>
  <si>
    <t>TRASHBAG SMALL</t>
  </si>
  <si>
    <t>2025-01-0010
2025-01-0020
2025-01-0024</t>
  </si>
  <si>
    <t>5-ODED NCH
5-COA
5-OED NCH</t>
  </si>
  <si>
    <t>ROTS0012-02</t>
  </si>
  <si>
    <t>TRASHBAG XL</t>
  </si>
  <si>
    <t>30-OED NCH</t>
  </si>
  <si>
    <t>2025-01-0023</t>
  </si>
  <si>
    <t>2025-01-0004
2025-01-0006
2025-01-0010
2025-01-0024</t>
  </si>
  <si>
    <t>2-FINANCE
10-AFO
5-ODED NCH
30-OED NCH</t>
  </si>
  <si>
    <t>2025-01-0001
2025-01-0003
2025-01-0004
2025-01-0005
2025-01-0006
2025-01-0008
2025-01-0011
2025-01-0012
2025-01-0015
2025-01-0016
2025-01-0017
2025-01-0020
2025-01-0021
2025-01-0023
2025-01-0024</t>
  </si>
  <si>
    <t>10-CPPD
5-IPD
4-FINANCE
1-OED IAT
4-AFO
8-OED IARC
3-PMS BAC SEC
3-OED MIST
6-ODED
3-OED
5-CIO
4-COA
5-CPPCO
3-DAD
8-OED NCH</t>
  </si>
  <si>
    <t>WASTE BASKET NON RIGID PLASTIC</t>
  </si>
  <si>
    <t>2-COA</t>
  </si>
  <si>
    <t>2025-01-0020</t>
  </si>
  <si>
    <t>FURNITURE CLEANER</t>
  </si>
  <si>
    <t>5-CPPD
2-COA</t>
  </si>
  <si>
    <t>2025-01-0001
2025-01-0020</t>
  </si>
  <si>
    <t>AIR FRESHENER, AEROSOL 280ML/150G</t>
  </si>
  <si>
    <t xml:space="preserve">2025-01-0001
2025-01-0003
2025-01-0004
2025-01-0006
2025-01-0007
2025-01-0008
2025-01-0009
2025-01-0020
2025-01-0023
</t>
  </si>
  <si>
    <t>5-CPPD
5-IPD
3-FINANCEE
12-AFO
4-CPPCO
6-OED IARC
6-PMS BAC SEC
2-COA
5-DAD</t>
  </si>
  <si>
    <t>2025-01-0010
2025-01-0024</t>
  </si>
  <si>
    <t>5-ODED NCH
4-OED NCH</t>
  </si>
  <si>
    <t>ROTS0040-02</t>
  </si>
  <si>
    <t>SPONGE WITH SCOURING PAD</t>
  </si>
  <si>
    <t>2025-01-0010
2025-01-0014
2025-01-0023</t>
  </si>
  <si>
    <t>10-ODED NCH
4-ADMIN
3-OED NCH</t>
  </si>
  <si>
    <t xml:space="preserve">DETERGENT BAR </t>
  </si>
  <si>
    <t>2025-01-0003</t>
  </si>
  <si>
    <t>ROTS0059-01</t>
  </si>
  <si>
    <t>BROOM (WALIS TAMBO)</t>
  </si>
  <si>
    <t>2025-01-0020
2025-01-0024</t>
  </si>
  <si>
    <t>1-COA
6-OED NCH</t>
  </si>
  <si>
    <t>ROTS0071-02</t>
  </si>
  <si>
    <t>FABRIC SOFTENER 50ML/12 SACHER PER PACK</t>
  </si>
  <si>
    <t>ROTS0068-02</t>
  </si>
  <si>
    <t>INSECTICED SPRAY</t>
  </si>
  <si>
    <t>7-OED NCH</t>
  </si>
  <si>
    <t>2025-01-0001
2025-01-0003
2025-01-0004
2025-01-0020</t>
  </si>
  <si>
    <t>2-CPPD
2-IPD
2-FINANCE
1-COA</t>
  </si>
  <si>
    <t xml:space="preserve">FLASH DRIVE 64GB </t>
  </si>
  <si>
    <t>2025-01-0012
2025-01-0014
2025-01-0019
2025-01-0020
2025-01-0026</t>
  </si>
  <si>
    <t>1-OED MIST
3-ADMIN
2-PMS BAC SEC
2-COA
2-OED MIST</t>
  </si>
  <si>
    <t>ROTS0109-01</t>
  </si>
  <si>
    <t>MICRO FIBER CLOTH</t>
  </si>
  <si>
    <t>1-COA
4-OED NCH</t>
  </si>
  <si>
    <t>ROTS0110-01</t>
  </si>
  <si>
    <t>SPRAY BOTTLE</t>
  </si>
  <si>
    <t>3-OED NCH</t>
  </si>
  <si>
    <t>2025-01-0001</t>
  </si>
  <si>
    <t>2025-02-0002</t>
  </si>
  <si>
    <t>2025-02-0028
2025-02-0031
2025-02-0038
2025-02-0042
2025-02-0044
2025-02-0045</t>
  </si>
  <si>
    <t>3-IPD
2-DAD
1-CMCD
1-PMS BAC-SEC
1-CIO
2-ID</t>
  </si>
  <si>
    <t xml:space="preserve">DISINFECTANT SPRAY </t>
  </si>
  <si>
    <t>2025-02-0029</t>
  </si>
  <si>
    <t>3-AFO UTILITY</t>
  </si>
  <si>
    <t>BLEACH</t>
  </si>
  <si>
    <t>2-AFO UTILITY</t>
  </si>
  <si>
    <t>ROTS0008-03</t>
  </si>
  <si>
    <t>BLEACH COLOR SAFE</t>
  </si>
  <si>
    <t>1-AFO UTILITY</t>
  </si>
  <si>
    <t>2025-02-0028
2025-02-0029
2025-02-0041</t>
  </si>
  <si>
    <t>2-IPD
5-AFO UTILITY
5-AFO UTILITY</t>
  </si>
  <si>
    <t>10-AFO UTILITY</t>
  </si>
  <si>
    <t>TRASH BAG SMALL</t>
  </si>
  <si>
    <t>ROTS0012-03</t>
  </si>
  <si>
    <t>TRASH BAG LARGE</t>
  </si>
  <si>
    <t>2025-02-0041</t>
  </si>
  <si>
    <t>2025-02-0029
2025-02-0030
2025-02-0031
2025-02-0032
2025-02-0033
2025-02-0035
2025-02-0036</t>
  </si>
  <si>
    <t>2-AFO UTILITY
2-IPD
2-DAD
4-NCH
1-COA
1-CPPD
2-CIO</t>
  </si>
  <si>
    <t>ROTS0037-01</t>
  </si>
  <si>
    <t>2025-02-0029
2025-02-0030
2025-02-0031
2025-02-0032
2025-02-0033
2025-02-0036
2025-02-0039</t>
  </si>
  <si>
    <t>5-AFO UTILITY
1-IPD
1-DAD
9-NCH
1-COA
1-CIO
2-CPPCO</t>
  </si>
  <si>
    <t>LIQUID HAND SOAP 500ML</t>
  </si>
  <si>
    <t>2025-02-0039
2025-02-0042</t>
  </si>
  <si>
    <t>2-CPPCO
3-PMS BAC SEC</t>
  </si>
  <si>
    <t>2025-02-0028
2025-02-0038
2025-02-0039
2025-02-0041
2025-02-0042
2025-02-0045</t>
  </si>
  <si>
    <t>AIR FRESHENER</t>
  </si>
  <si>
    <t>2025-02-0029
2025-02-0033</t>
  </si>
  <si>
    <t>8-AFO UTILITY
2-COA</t>
  </si>
  <si>
    <t>2025-02-0028
2025-02-0045</t>
  </si>
  <si>
    <t>2025-02-0029
2025-02-0043</t>
  </si>
  <si>
    <t>2-AFO UTILITY
2-NCH</t>
  </si>
  <si>
    <t>ROTS0046-02</t>
  </si>
  <si>
    <t>CAUTION WET FLOOR SIGNANGE</t>
  </si>
  <si>
    <t>BROOM WALIS TAMBO</t>
  </si>
  <si>
    <t>ROTS0065-01</t>
  </si>
  <si>
    <t>BATHROOM DEODORIZER</t>
  </si>
  <si>
    <t>2025-02-0029
2025-02-0032</t>
  </si>
  <si>
    <t>10-AFO UTILITY
20-NCH</t>
  </si>
  <si>
    <t>ROTS0067-01</t>
  </si>
  <si>
    <t xml:space="preserve">TOILET BRUSH </t>
  </si>
  <si>
    <t>2-AFO UTILITY
1-NCH</t>
  </si>
  <si>
    <t>FABRIC SOFTENER 50ML/SACHET PER PACK</t>
  </si>
  <si>
    <t>ROTS0079-03</t>
  </si>
  <si>
    <t xml:space="preserve">GLOVES RUBBER </t>
  </si>
  <si>
    <t xml:space="preserve">INSECTICIDE SPRAY </t>
  </si>
  <si>
    <t>2025-02-0042
2025-02-0045</t>
  </si>
  <si>
    <t>1-PMS BAC SEC
2-ID</t>
  </si>
  <si>
    <t>ROTS0108-01</t>
  </si>
  <si>
    <t>SCRUB BRUSH WITH HANDLE</t>
  </si>
  <si>
    <t>2025-02-0028
2025-02-0029</t>
  </si>
  <si>
    <t>1-IPD
2-AFO UTILITY</t>
  </si>
  <si>
    <t>2-IPD
4-ID</t>
  </si>
  <si>
    <t>5-IPD
3-AFO UTILITY
3-DAD
2-CIO
2-PMS BAC-SEC
2-MIST
2-OED IARC</t>
  </si>
  <si>
    <t>2025-02-0028
2025-02-0029
2025-02-0031
2025-02-0036
2025-02-0042
2025-02-0048
2025-02-0049</t>
  </si>
  <si>
    <t>2-IPD
4-FINANCE
1-CMCD
1-CPPCO
8-NCH
3-CIO
1-ID
7-DAD
1-CPPD
3-OED IARC</t>
  </si>
  <si>
    <t>2025-02-0028
2025-02-0037
2025-02-0038
2025-02-0039
2025-02-0043
2025-02-0044
2025-02-0045
2025-02-0046
2025-02-0047
2025-02-0049</t>
  </si>
  <si>
    <t>6-IPD
1-CMCD
2-CPPCO
12-AFO UTILITY
1-PMS BAC SEC
5-ID
2-MIST</t>
  </si>
  <si>
    <t>4-AFO UTILITY
2-IPD
1-DAD
1-COA
1-CIO
2-OED IARC</t>
  </si>
  <si>
    <t>2025-02-0029
2025-02-0030
2025-02-0031
2025-02-0033
2025-02-0036
2025-02-0049</t>
  </si>
  <si>
    <t>2025-02-0048
2025-02-0050</t>
  </si>
  <si>
    <t>1-MIST
1-OED</t>
  </si>
  <si>
    <t xml:space="preserve">MOUSE WIRELESS </t>
  </si>
  <si>
    <t xml:space="preserve">DETERGENT POWDER </t>
  </si>
  <si>
    <t>TRASH BAG L</t>
  </si>
  <si>
    <t>DISHWASHING LIQUID</t>
  </si>
  <si>
    <t>ROTS0058-01</t>
  </si>
  <si>
    <t>BROOM WALIS TING-TING</t>
  </si>
  <si>
    <t xml:space="preserve">BATHROOM DEODORIZER </t>
  </si>
  <si>
    <t xml:space="preserve">FABRIC SOFTENER </t>
  </si>
  <si>
    <t>ALCOGOL</t>
  </si>
  <si>
    <t>2025-04-0075
2025-04-0079
2025-04-0083
2025-04-0084
2025-04-0086</t>
  </si>
  <si>
    <t>4-IPD
1-IARC
3-LEGAL
1-PMS BAC SEC
3-CPPD</t>
  </si>
  <si>
    <t>2025-04-0079
2025-04-0086</t>
  </si>
  <si>
    <t>3-IARC
9-CPPD</t>
  </si>
  <si>
    <t>2025-04-0081</t>
  </si>
  <si>
    <t>9-AFO UTILITY</t>
  </si>
  <si>
    <t>DISHWASHING LIQUID (1L)</t>
  </si>
  <si>
    <t>2025-04-0075
2025-04-0082
2025-04-0084
2025-04-0086</t>
  </si>
  <si>
    <t>2-IPD
1-ODED
1-PMS BAC SEC
3-CPPD</t>
  </si>
  <si>
    <t>2025-04-0085</t>
  </si>
  <si>
    <t>LIQUID HAND SOAP</t>
  </si>
  <si>
    <t>2025-04-0072
2025-04-0081</t>
  </si>
  <si>
    <t>2-IPD
6-AFO UTILITY</t>
  </si>
  <si>
    <t>2025-04-0075
2025-04-0079
2025-04-0085
2025-04-0086</t>
  </si>
  <si>
    <t>1-IPD
1-IARC
1-CPPCO
5-CPPD</t>
  </si>
  <si>
    <t xml:space="preserve">AIR FRESHENER </t>
  </si>
  <si>
    <t>2025-04-0075</t>
  </si>
  <si>
    <t>2025-04-0075
2025-04-0082</t>
  </si>
  <si>
    <t>3-IPD
1-ODED</t>
  </si>
  <si>
    <t>1-IPD</t>
  </si>
  <si>
    <t>INSECTICIDE SPRAY</t>
  </si>
  <si>
    <t>1-IPD
1-IARC
9-CPPD</t>
  </si>
  <si>
    <t>2025-04-0075
2025-04-0079
2025-04-0086</t>
  </si>
  <si>
    <t>2025-04-0074
2025-04-0075
2025-04-0078
2025-04-0079
2025-04-0080
2025-04-0082
2025-04-0083
2025-04-0084
2025-04-0085
2025-04-0086</t>
  </si>
  <si>
    <t>3-PMS BAC SEC
1-IPD
1-CIO
2-IARC
2-ADMIN
4-LEGAL
8-ODED
1-PMS BAC SEC
1-CPPCO
1-CPPD</t>
  </si>
  <si>
    <t>2025-04-0004</t>
  </si>
  <si>
    <t xml:space="preserve">GLASS CLEANER </t>
  </si>
  <si>
    <t>TRASH BAG XL</t>
  </si>
  <si>
    <t xml:space="preserve">TOILET TISSUE PAPER </t>
  </si>
  <si>
    <t>2025-06-0006</t>
  </si>
  <si>
    <t>ALCOHOL 500ML</t>
  </si>
  <si>
    <t>2025-06-0107
2025-06-0108
2025-06-0112
2025-06-0116
2025-06-0117
2025-06-0118
2025-06-0121
2025-06-0126
2025-06-0131</t>
  </si>
  <si>
    <t xml:space="preserve">7-PMS BAC SEC
21-IPD
14-OED
108-ODED
14-DAD
7-IARC
21-FINANCE
7-AFO UTILTIY
3-NCH
</t>
  </si>
  <si>
    <t>2025-06-0108
2025-06-0110
2025-06-0112
2025-06-0126
2025-06-0127
2025-06-0131</t>
  </si>
  <si>
    <t xml:space="preserve">1-IPD
1-AFO UTILITY
7-OED
2-ADMIN UTILITY
2-ICCD
6-NCH
</t>
  </si>
  <si>
    <t>2025-06-0115
2025-06-0131</t>
  </si>
  <si>
    <t>3-AFO UTILITY
1-NCH</t>
  </si>
  <si>
    <t>2025-06-0115</t>
  </si>
  <si>
    <t>DETERGENT POWDER</t>
  </si>
  <si>
    <t>2025-06-0126</t>
  </si>
  <si>
    <t>4-AFO UTILITY</t>
  </si>
  <si>
    <t>2025-06-0110
2025-06-0115
2025-06-0131</t>
  </si>
  <si>
    <t>5-AFO UTILITY
15-AFO UTILITY
5-NCH</t>
  </si>
  <si>
    <t>2025-06-0122</t>
  </si>
  <si>
    <t>2-ICCD</t>
  </si>
  <si>
    <t>14-AFO UTILITY
1-ICCD
3-AFO UTILITY
5-NCH</t>
  </si>
  <si>
    <t>2025-06-0115
2025-06-0122
2025-06-0126
2025-06-0131</t>
  </si>
  <si>
    <t>2025-06-0110
2025-06-0115
2025-06-0126</t>
  </si>
  <si>
    <t>4-AFO UTILITY
14-AFO UTILITY
10-AFO UTILITY</t>
  </si>
  <si>
    <t>2025-06-0107
2025-06-0108
2025-06-0110
2025-06-0113
2025-06-0117
2025-06-0120
2025-06-0126
2025-06-0131</t>
  </si>
  <si>
    <t xml:space="preserve">2-PMS BAC SEC
3-IPD
3-AFO UTILITY
3-CPPCO
1-DAD
2-AFO
1-AFO UTILITY
14-NCH
</t>
  </si>
  <si>
    <t>5-PMS BAC SEC
5-IPD
4-OED
5-CPPCO
5-CIO
8-DAD
2-IARC
9-ADMIN
4-FINANCE
5-CPPCO
8-AFO UTILITY
6-CPPCO</t>
  </si>
  <si>
    <t>2025-06-0107
2025-06-0108
2025-06-0112
2025-06-0113
2025-06-0114
2025-06-0117
2025-06-0118
2025-06-0120
2025-06-0121
2025-06-0125
2025-06-0126
2025-06-0132</t>
  </si>
  <si>
    <t>2025-06-0118
2025-06-0119</t>
  </si>
  <si>
    <t>2-IARC
2-CIO</t>
  </si>
  <si>
    <t>2025-06-0108
2025-06-0117
2025-06-0125
2025-06-0131
2025-06-0132</t>
  </si>
  <si>
    <t>3-IPD
3-DAD
1-CPPCO
4-NCH
3-CPPCO</t>
  </si>
  <si>
    <t xml:space="preserve">LIQUID HAND SOAP 500ML </t>
  </si>
  <si>
    <t>2025-06-0108
2025-06-0110
2025-06-0126
2025-06-0131</t>
  </si>
  <si>
    <t>2-IPD
6-AFO UTILITY
6-AFO UTILITY
4-NCH</t>
  </si>
  <si>
    <t>2025-06-0108
2025-06-0110
2025-06-0120
2025-06-0125
2025-06-0126
2025-06-0127
2025-06-0131
2025-06-0132</t>
  </si>
  <si>
    <t>9-IPD 
1-AFO UTILITY
1-ADMIN
4-CPPCO
3-AFO UTILITY
2-ICCD
10-NCH
3-CPPCO</t>
  </si>
  <si>
    <t>6-AFO UTILITY</t>
  </si>
  <si>
    <t>2025-06-0121
2025-06-0126
2025-06-0131</t>
  </si>
  <si>
    <t>2-FINANCE
3-AFO UTILITY
5-NCH</t>
  </si>
  <si>
    <t>16-AFO UTILITY
6-NCH</t>
  </si>
  <si>
    <t>2025-06-0115
2025-06-0120
2025-06-0126
2025-06-0131</t>
  </si>
  <si>
    <t>1-AFO UTILITY
1-ADMIN
2-AFO UTILITY
6-NCH</t>
  </si>
  <si>
    <t>2025-06-0117
2025-06-0118
2025-06-0126</t>
  </si>
  <si>
    <t>3-DAD
6-IARC
6-AFO UTILITY</t>
  </si>
  <si>
    <t>PACKS</t>
  </si>
  <si>
    <t>2025-06-0110
2025-06-0126
2025-06-0131</t>
  </si>
  <si>
    <t>2-AFO UTILITY
3-AFO UTILITY
1-NCH</t>
  </si>
  <si>
    <t>RUBBER GLOVES</t>
  </si>
  <si>
    <t>3-NCH</t>
  </si>
  <si>
    <t>2025-06-0131</t>
  </si>
  <si>
    <t>2025-06-0108
2025-06-0117</t>
  </si>
  <si>
    <t>2-IPD
2-DAD</t>
  </si>
  <si>
    <t xml:space="preserve">MOUSE WIRELESS, A4 </t>
  </si>
  <si>
    <t>2025-06-0108
2025-06-0120
2025-06-0124
2025-06-0129</t>
  </si>
  <si>
    <t>3-IPD
1-ADMIN
1-AFO
6-ID</t>
  </si>
  <si>
    <t>2025-06-0110</t>
  </si>
  <si>
    <t>ROTS0113-01</t>
  </si>
  <si>
    <t>SCOURING POWDER CLEANSER</t>
  </si>
  <si>
    <t>2025-06-0115
2025-06-0126</t>
  </si>
  <si>
    <t>4-AFO UTILITY
10-AFO UTILITY</t>
  </si>
  <si>
    <t>ROTS0003-02</t>
  </si>
  <si>
    <t>2025-07-017</t>
  </si>
  <si>
    <t>3-SECURITY</t>
  </si>
  <si>
    <t xml:space="preserve">2025-07-0133
2025-07-0134
2025-07-0137
2025-07-0138
2025-07-0140
2505-07-0144
2025-07-0145
</t>
  </si>
  <si>
    <t>7-ICCD
7-IARC
2-OED
13-CIO
14-LEGAL
2-COA
5-AFO UTILITY</t>
  </si>
  <si>
    <t>2025-07-0133
2025-07-0140
2025-07-0141
2025-07-0142
2025-07-0148</t>
  </si>
  <si>
    <t>10-ICCD
7-ID
10-NCH
2-CMCD
2-PMS BAC SEC</t>
  </si>
  <si>
    <t>2025-07-0141</t>
  </si>
  <si>
    <t>1-NCH</t>
  </si>
  <si>
    <t>2025-07-0141
2025-07-0145</t>
  </si>
  <si>
    <t>2-NCH
2-AFO UTILITY</t>
  </si>
  <si>
    <t>3-NCH
4-AFO UTILITY</t>
  </si>
  <si>
    <t>2025-07-0141
2025-07-0144
2025-07-0145</t>
  </si>
  <si>
    <t>25-NCH
1-COA
25-AFO UTILITY</t>
  </si>
  <si>
    <t xml:space="preserve">TRASHBAG SMALL </t>
  </si>
  <si>
    <t>20-NCH
13-AFO UTILITY</t>
  </si>
  <si>
    <t>TRASHBAG L</t>
  </si>
  <si>
    <t>2-ICCD
5-NCH</t>
  </si>
  <si>
    <t>2025-07-0133
2025-07-0141</t>
  </si>
  <si>
    <t>2025-07-0134
2025-07-0136
2025-07-0137
2025-07-0138
2025-07-0140
2025-07-0142
2025-07-0143
2025-07-0145</t>
  </si>
  <si>
    <t>6-IARC
2-PMS BAC SEC
5-CIO
7-LEGAL
3-ID
1-CMCD
6-CPPCO
1-AFO UTILITY</t>
  </si>
  <si>
    <t xml:space="preserve">DISHWASHING LIQUID </t>
  </si>
  <si>
    <t xml:space="preserve">2025-07-0133
2025-07-0134
2025-07-0136
2025-07-0137
2025-07-0138
2025-07-0140
2025-07-0142
</t>
  </si>
  <si>
    <t>10-ICCD
5-IARC
10-PMS BAC SEC
5-CIO
10-LEGAL
8-ID
5-CMCD</t>
  </si>
  <si>
    <t>2025-07-0138
2025-07-0140</t>
  </si>
  <si>
    <t>6-LEGAL
3-ID</t>
  </si>
  <si>
    <t xml:space="preserve">LIQUID HAND SOAP </t>
  </si>
  <si>
    <t>2025-07-0143
2025-07-0145</t>
  </si>
  <si>
    <t>3-CPPCO
26-AFO UTILITY</t>
  </si>
  <si>
    <t>AIR FRESHNER</t>
  </si>
  <si>
    <t>2025-07-0133
2025-07-0138
2025-07-0140
2025-07-0142
2025-07-0145
2025-07-0148</t>
  </si>
  <si>
    <t>10-ICCD
5-LEGAL
10-ID
2-CMCD
10-AFO UTILITY
5-PMS BAC SEC</t>
  </si>
  <si>
    <t>2025-07-0136
2025-07-0145</t>
  </si>
  <si>
    <t>2-PMS
3-AFO UTILITY</t>
  </si>
  <si>
    <t>21-NCH
21-AFO UTILITY</t>
  </si>
  <si>
    <t>2025-07-0133
2025-07-0137
2025-07-0141
2025-07-0142</t>
  </si>
  <si>
    <t>5-ICCD
5-CIO
14-NCH
2-CMCD</t>
  </si>
  <si>
    <t>HAND SANITIZER</t>
  </si>
  <si>
    <t>2025-07-0134
2025-07-0138
2025-07-0140</t>
  </si>
  <si>
    <t>6-IARC
10-LEGAL
5-ID</t>
  </si>
  <si>
    <t>5-NCH
1-AFO UTILITY</t>
  </si>
  <si>
    <t>FABRIC SOFTENER</t>
  </si>
  <si>
    <t>2-NCH</t>
  </si>
  <si>
    <t>FLASHDRIVE 64GB</t>
  </si>
  <si>
    <t>UNIT</t>
  </si>
  <si>
    <t>2025-07-0134
2025-07-0139
2025-07-0140</t>
  </si>
  <si>
    <t>1-IARC
7-ADMIN
1-ID</t>
  </si>
  <si>
    <t>MOUSE WIRELESS</t>
  </si>
  <si>
    <t>2025-07-0178</t>
  </si>
  <si>
    <t>2-PMS</t>
  </si>
  <si>
    <t>1-NCH
1-AFO UTILITY</t>
  </si>
  <si>
    <t>ROTS0111-01</t>
  </si>
  <si>
    <t>LIQUID FLOOR WAX</t>
  </si>
  <si>
    <t xml:space="preserve">BOTTLE </t>
  </si>
  <si>
    <t>2025-07-0145</t>
  </si>
  <si>
    <t>ROTS0112-01</t>
  </si>
  <si>
    <t>CARPET SOLUTION</t>
  </si>
  <si>
    <t>2025-07-0007</t>
  </si>
  <si>
    <t>MALOU P. CORONA
Signature over Printed Name of Supply and/or Property Custodian</t>
  </si>
  <si>
    <t>2025-08-0008A</t>
  </si>
  <si>
    <t>2025-08-0160
2025-08-0162
2025-08-0167</t>
  </si>
  <si>
    <t>7-CPPD
1-OED IA
7-AFO SECURITY</t>
  </si>
  <si>
    <t>2025-08-0161</t>
  </si>
  <si>
    <t>4-OED</t>
  </si>
  <si>
    <t>2025-08-0160
2025-08-0165</t>
  </si>
  <si>
    <t>3-CPPCO
3-TMC</t>
  </si>
  <si>
    <t>2025-08-0164</t>
  </si>
  <si>
    <t xml:space="preserve">BLEACH COLOR SAFE </t>
  </si>
  <si>
    <t>GALLOB</t>
  </si>
  <si>
    <t>2025-08-0162</t>
  </si>
  <si>
    <t>1-ODED
2-AFO UTILITY</t>
  </si>
  <si>
    <t>2025-08-0161
2025-08-0164</t>
  </si>
  <si>
    <t xml:space="preserve">TISSUE PAPER </t>
  </si>
  <si>
    <t>2025-08-0160
2025-08-0162
2025-08-0164</t>
  </si>
  <si>
    <t>4-CPPCO
1-OED IA
10-AFO UTILITY</t>
  </si>
  <si>
    <t>WASTEBASKET</t>
  </si>
  <si>
    <t>2025-10-0161</t>
  </si>
  <si>
    <t>2-ODED</t>
  </si>
  <si>
    <t>2025-08-0162
2025-08-0164</t>
  </si>
  <si>
    <t>1-OED IA
3-AFO UTILITY</t>
  </si>
  <si>
    <t xml:space="preserve">SPONGE WITH SCOURING PAD </t>
  </si>
  <si>
    <t>1-ODED
1-AFO UTILITY</t>
  </si>
  <si>
    <t>12-AFO UTILITY</t>
  </si>
  <si>
    <t>1-OED IA
4-AFO UTILITY</t>
  </si>
  <si>
    <t>FABRIC SOFTENER 12 SACHET PER PACK</t>
  </si>
  <si>
    <t>2025-09-0009</t>
  </si>
  <si>
    <t xml:space="preserve">2025-09-0168
2025-09-0169
2025-09-0176
2025-09-0181
2025-09-0182
2025-09-0184
</t>
  </si>
  <si>
    <t>2-IARC
3-PMS BAC SEC
4-AFO
4-PMS BAC SEC
2-FINANCE
2-IARC</t>
  </si>
  <si>
    <t xml:space="preserve">ALCOHOL 500ML </t>
  </si>
  <si>
    <t>2025-09-0173
2025-09-0178
2025-09-0180
2025-09-0181
2025-09-0183</t>
  </si>
  <si>
    <t>10-AFO UTILITY
7-ICCD
6-DAD
4-PMS BAC SEC
5-LEGAL</t>
  </si>
  <si>
    <t>2025-09-0168
2025-09-0172
2025-09-0175
2025-09-0176
2025-09-0178
2025-09-0180
2025-09-0181
2025-09-0183
2025-09-0184</t>
  </si>
  <si>
    <t>1-IARC
3-COA
5-NCH
2-AFO
2-ICCD
5-DAD
3-PMS BAC SEC
1-LEGAL
1-IARC</t>
  </si>
  <si>
    <t>2025-09-0175</t>
  </si>
  <si>
    <t>2025-09-0173
2025-09-0175
2025-09-0188</t>
  </si>
  <si>
    <t>2-AFO UTILITY
1-NCH
1-AFO UTILITY</t>
  </si>
  <si>
    <t>3-AFO UTILITY
5-NCH
2-AFO UTILITY</t>
  </si>
  <si>
    <t>2025-09-0175
2025-09-0188</t>
  </si>
  <si>
    <t>4-NCH
5-AFO UTILITY</t>
  </si>
  <si>
    <t>2025-09-0173
2025-09-0175</t>
  </si>
  <si>
    <t>3-AFO UTLITY
5-NCH</t>
  </si>
  <si>
    <t>2025-09-0172
2025-09-0173
2025-09-0188</t>
  </si>
  <si>
    <t>2-COA
10-AFO UTILITY
10-AFO UTILITY</t>
  </si>
  <si>
    <t>2025-09-0168
2025-09-0169
2025-09-0174
2025-09-0175
2025-09-0176
2025-09-0178
2025-09-0180
2025-09-0181
2025-09-0183
2025-09-0184</t>
  </si>
  <si>
    <t>1-IARC
3-PMS BAC SEC
2-CPPCO
2-NCH
2-AFO
1-ICCD
3-DAD
2-PMS BAC SEC
2-LEGAL
1-IARC</t>
  </si>
  <si>
    <t>2025-09-0168
2025-09-0170
2025-09-0172
2025-09-0174
2025-09-0175
2025-09-0176
2025-09-0177
2025-09-0178
2025-09-0179
2025-09-0180
2025-09-0182
2025-09-0183
2025-09-0184
2025-09-0189</t>
  </si>
  <si>
    <t>2-IARC
5-CIO
6-COA
6-CPPCO
3-NCH
2-AFO
10-ODED
2-ICCD
1-ADMIN
5-DAD
4-FINANCE
3-LEGAL
2-IARC
1-OED PIO</t>
  </si>
  <si>
    <t>2025-09-0169
2025-09-0172
2025-09-0173</t>
  </si>
  <si>
    <t>2-PMS BAC SEC
3-COA
3-AFO UTILITY</t>
  </si>
  <si>
    <t>2025-09-0171
2025-09-0173
2025-09-0174
2025-09-0175
2025-09-0181</t>
  </si>
  <si>
    <t>1-IPD
6-AFO UTILITY
2-CPPCO
3-NCH
2-PMS</t>
  </si>
  <si>
    <t>2025-09-0168
2025-09-0169
2025-09-0172
2025-09-0174
2025-09-0177
2025-09-0178
2025-09-0180
2025-09-0183</t>
  </si>
  <si>
    <t>2-IARC
4-PMS BAC SEC
3-COA
3-CPPCO
4-ODED
2-ICCD
5-DAD
3-LEGAL</t>
  </si>
  <si>
    <t>SPONGE WIITH SCOURING PAD</t>
  </si>
  <si>
    <t>2025-09-0176
2025-09-0183</t>
  </si>
  <si>
    <t>2-AFO
2-LEGAL</t>
  </si>
  <si>
    <t xml:space="preserve">INSECTICIDE </t>
  </si>
  <si>
    <t>2025-09-0168
2025-09-0169
2025-09-0172
2025-09-0176
2025-09-0178
2025-09-0181
2025-09-0184</t>
  </si>
  <si>
    <t>1-IARC
2-PMS
3-COA
2-AFO
2-ICCD
3-PMS
1-IARC</t>
  </si>
  <si>
    <t>ROTS70-01</t>
  </si>
  <si>
    <t>2025-09-0168
2025-09-0180
2025-09-0181
2025-09-0183</t>
  </si>
  <si>
    <t>2-IARC
5-DAD
2-PMS
5-LEGAL</t>
  </si>
  <si>
    <t>1-AFO UTILITY
2-NCH
2-AFO UTILITY</t>
  </si>
  <si>
    <t>2025-09-0172
2025-09-0186
2025-09-0189</t>
  </si>
  <si>
    <t>4-COA
1-PMS BAC  SEC
3-OED PIO</t>
  </si>
  <si>
    <t>2025-09-188</t>
  </si>
  <si>
    <t>SCOURING POWDER</t>
  </si>
  <si>
    <t>2025-10-0010</t>
  </si>
  <si>
    <t>2025-10-0200
2025-10-0202</t>
  </si>
  <si>
    <t>4-IARC
1-CMCD</t>
  </si>
  <si>
    <t xml:space="preserve"> CAN</t>
  </si>
  <si>
    <t>2025-10-0201</t>
  </si>
  <si>
    <t>4-PMS BAC SEC</t>
  </si>
  <si>
    <t>2025-10-0194
2025-10-0201</t>
  </si>
  <si>
    <t>2-CPPCO
4-PMS BAC SEC</t>
  </si>
  <si>
    <t>6-SECURITY
10-UTILITY</t>
  </si>
  <si>
    <t>2025-10-0197
2025-10-0206</t>
  </si>
  <si>
    <t>2025-10-0206</t>
  </si>
  <si>
    <t>2-UTILITY</t>
  </si>
  <si>
    <t>5-UTILITY</t>
  </si>
  <si>
    <t>8-UTILITY</t>
  </si>
  <si>
    <t>1-SECURITY
4-AFO
2-PMS BAC SEC
3-UTILITY</t>
  </si>
  <si>
    <t>2025-10-0197
2025-10-0199
2025-10-0201
2025-10-0206</t>
  </si>
  <si>
    <t>2025-10-0192
2025-10-0193
2025-10-0194
2025-10-0195
2025-10-0198
2025-10-0200
2025-10-0201
2025-10-0202
2025-10-0206
2025-10-0208</t>
  </si>
  <si>
    <t>3-IARC
3-CIO
3-CPPCO
1-OED PIO
1-MIS
2-IARC
4-PMS BAC SEC
4-CMCD
5-UTILITY
4-FINANCE</t>
  </si>
  <si>
    <t>3-PMS BAC SEC
8-UTILITY</t>
  </si>
  <si>
    <t>2025-10-0201
2025-10-0206</t>
  </si>
  <si>
    <t>5-IARC
3-CPPCO
3-PMS BAC SEC
12-UTILITY</t>
  </si>
  <si>
    <t>2025-10-0192
2025-10-0194
2025-10-0201
2025-10-0206</t>
  </si>
  <si>
    <t>SPONG WITH SCOURING PAD</t>
  </si>
  <si>
    <t>12-UTILITY</t>
  </si>
  <si>
    <t>HAND SANITIZER 500NL</t>
  </si>
  <si>
    <t>2025-10-0200</t>
  </si>
  <si>
    <t>5-IARC</t>
  </si>
  <si>
    <t>1-ADMIN
2-MIS
2-AFO
2-DAD</t>
  </si>
  <si>
    <t>2025-10-0191
2025-10-0198
2025-10-0199
2025-10-0205</t>
  </si>
  <si>
    <t>MOUSE WIRELESS A4 TECH</t>
  </si>
  <si>
    <t>2025-10-0201
2025-10-0203
2025-10-0208</t>
  </si>
  <si>
    <t>1-PMS
3-FINANCE
1-FINANCE</t>
  </si>
  <si>
    <t>10-UTILITY</t>
  </si>
  <si>
    <t>2025-11-0210
2025-11-0214
2025-11-0215
2025-11-0218
2025-11-0219
2025-11-0222
2025-11-0223
2025-11-0225</t>
  </si>
  <si>
    <t>1-COA
5-IARC
1-LEGAL
1-SECURITY
4-CIO
1-PIO
4-MIST
2-DAD</t>
  </si>
  <si>
    <t>2025-11-0213
2025-11-0225
2025-11-0227
2025-11-0231</t>
  </si>
  <si>
    <t>13-AFO UTILITY
10-DAD
1-AFO UTILITY
5-OED</t>
  </si>
  <si>
    <t>2025-11-0214
2025-11-0215
2025-11-0216
2025-11-0227</t>
  </si>
  <si>
    <t>2-IARC
5-LEGAL
6-CMCD
4-UTILITY</t>
  </si>
  <si>
    <t>2025-11-0213
2025-11-0227</t>
  </si>
  <si>
    <t>1-AFO UTILITY
1-AFO UTILITY</t>
  </si>
  <si>
    <t>2025-11-0213
2025-11-0218
2025-11-0227</t>
  </si>
  <si>
    <t>10-AFO UTILITY
2-SECURITY
10-AFO UTILITY</t>
  </si>
  <si>
    <t>2025-11-0213</t>
  </si>
  <si>
    <t>10-AFO UTILITY
14-AFO UTILITY</t>
  </si>
  <si>
    <t>2025-11-0213
2025-11-0214
2025-11-0215
2025-11-0227</t>
  </si>
  <si>
    <t>7-AFO UTILITY
2-IARC
3-LEGAL
4-AFO UTILITY</t>
  </si>
  <si>
    <t>2025-11-0210
2025-11-0214
2025-11-0215
2025-11-0217
2025-11-0219
2025-11-0220
2025-11-0221
2025-11-0223
2025-11-0225
2025-11-0227
2025-11-0229</t>
  </si>
  <si>
    <t>1-COA
1-IARC
1-LEGAL
2-CPPCO
1-CIO
1-CPPCO
1-QRT
1-MIST
1-DAD
4-AFO UTILITY
1-PMS BAC SEC</t>
  </si>
  <si>
    <t>2025-11-0216
2025-11-0217</t>
  </si>
  <si>
    <t>3-CMCD
2-CPPCO</t>
  </si>
  <si>
    <t>ROTS037-01</t>
  </si>
  <si>
    <t>11-AFO UTILITY 
5-AFO UTILITY</t>
  </si>
  <si>
    <t>AIR FRESHENNER</t>
  </si>
  <si>
    <t>2025-11-0210
2025-11-0213
2025-11-0214
2025-11-0215
2025-11-0216
2025-11-0217
2025-11-0221
2025-11-0227</t>
  </si>
  <si>
    <t>2-COA
15-AFO UTILITY
5-IARC
3-LEGAL
1-CMCD
4-CPPCO
2-QRT
12-AFO UTILITY</t>
  </si>
  <si>
    <t>2025-11-0213
2025-11-0218</t>
  </si>
  <si>
    <t>4-UTILITY
1-SECURITY</t>
  </si>
  <si>
    <t>24-AFO UTILITY
10-AFO UTILITY</t>
  </si>
  <si>
    <t>2025-11-0210
2025-11-0227</t>
  </si>
  <si>
    <t>1-COA
10-AFO UTILITY</t>
  </si>
  <si>
    <t xml:space="preserve">HAND SANTIZER 500ML </t>
  </si>
  <si>
    <t>2025-11-0213
2025-11-0214
2025-11-0225
2025-11-0227</t>
  </si>
  <si>
    <t>11-AFO UTILITY
5-IARC
5-DAD
5-AFO UTILITY</t>
  </si>
  <si>
    <t xml:space="preserve">FABRICT SOFTENER </t>
  </si>
  <si>
    <t>2-AFO UTILITY
1-AFO UTILITY</t>
  </si>
  <si>
    <t>3-IPD</t>
  </si>
  <si>
    <t>2025-11-0224</t>
  </si>
  <si>
    <t>2025-11-0212
2025-11-0223
2025-11-0224</t>
  </si>
  <si>
    <t>4-QRT
1-MIST
2-IPD</t>
  </si>
  <si>
    <t>2025-11-0011</t>
  </si>
  <si>
    <t>APRILY U. BATOBATO
Signature over Printed Name of Designated Accounting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</si>
</sst>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i/>
      <sz val="8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8"/>
      <color theme="5" tint="-0.499984740745262"/>
      <name val="Times New Roman"/>
      <family val="1"/>
    </font>
    <font>
      <sz val="10"/>
      <color theme="5" tint="-0.499984740745262"/>
      <name val="Times New Roman"/>
      <family val="1"/>
    </font>
    <font>
      <sz val="8"/>
      <color theme="5" tint="-0.249977111117893"/>
      <name val="Times New Roman"/>
      <family val="1"/>
    </font>
    <font>
      <i/>
      <sz val="8"/>
      <color theme="5" tint="-0.249977111117893"/>
      <name val="Times New Roman"/>
      <family val="1"/>
    </font>
    <font>
      <sz val="10"/>
      <color theme="5" tint="-0.249977111117893"/>
      <name val="Times New Roman"/>
      <family val="1"/>
    </font>
    <font>
      <u/>
      <sz val="10"/>
      <color theme="5" tint="-0.249977111117893"/>
      <name val="Times New Roman"/>
      <family val="1"/>
    </font>
    <font>
      <i/>
      <sz val="10"/>
      <color theme="5" tint="-0.249977111117893"/>
      <name val="Times New Roman"/>
      <family val="1"/>
    </font>
    <font>
      <b/>
      <sz val="10"/>
      <color theme="5" tint="-0.249977111117893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2" fillId="2" borderId="0" xfId="0" applyFont="1" applyFill="1"/>
    <xf numFmtId="0" fontId="5" fillId="2" borderId="0" xfId="0" applyFont="1" applyFill="1"/>
    <xf numFmtId="0" fontId="5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16" fontId="6" fillId="2" borderId="5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15" fontId="6" fillId="2" borderId="5" xfId="0" applyNumberFormat="1" applyFont="1" applyFill="1" applyBorder="1" applyAlignment="1">
      <alignment vertical="center"/>
    </xf>
    <xf numFmtId="0" fontId="3" fillId="2" borderId="0" xfId="0" applyFont="1" applyFill="1"/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top" wrapText="1"/>
    </xf>
    <xf numFmtId="0" fontId="5" fillId="2" borderId="11" xfId="0" quotePrefix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/>
    </xf>
    <xf numFmtId="4" fontId="5" fillId="2" borderId="12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center" vertical="center" wrapText="1"/>
    </xf>
    <xf numFmtId="4" fontId="8" fillId="2" borderId="13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" fontId="5" fillId="0" borderId="12" xfId="0" applyNumberFormat="1" applyFont="1" applyBorder="1" applyAlignment="1">
      <alignment horizontal="center" vertical="center"/>
    </xf>
    <xf numFmtId="0" fontId="5" fillId="2" borderId="14" xfId="0" applyFont="1" applyFill="1" applyBorder="1" applyAlignment="1">
      <alignment vertical="top" wrapText="1"/>
    </xf>
    <xf numFmtId="0" fontId="5" fillId="2" borderId="13" xfId="0" quotePrefix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4" fontId="5" fillId="2" borderId="15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vertical="top"/>
    </xf>
    <xf numFmtId="0" fontId="5" fillId="2" borderId="10" xfId="0" applyFont="1" applyFill="1" applyBorder="1" applyAlignment="1">
      <alignment horizontal="left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2" fontId="5" fillId="2" borderId="14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164" fontId="5" fillId="0" borderId="16" xfId="1" applyFont="1" applyFill="1" applyBorder="1" applyAlignment="1" applyProtection="1">
      <alignment vertical="center"/>
      <protection locked="0"/>
    </xf>
    <xf numFmtId="4" fontId="5" fillId="0" borderId="15" xfId="0" applyNumberFormat="1" applyFont="1" applyBorder="1" applyAlignment="1">
      <alignment horizontal="center" vertical="center"/>
    </xf>
    <xf numFmtId="0" fontId="5" fillId="2" borderId="17" xfId="0" applyFont="1" applyFill="1" applyBorder="1"/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4" fontId="5" fillId="2" borderId="20" xfId="0" applyNumberFormat="1" applyFont="1" applyFill="1" applyBorder="1" applyAlignment="1">
      <alignment horizontal="right" vertical="center"/>
    </xf>
    <xf numFmtId="0" fontId="2" fillId="2" borderId="4" xfId="0" applyFont="1" applyFill="1" applyBorder="1"/>
    <xf numFmtId="0" fontId="5" fillId="2" borderId="23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8" xfId="0" quotePrefix="1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5" fillId="2" borderId="29" xfId="0" quotePrefix="1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10" fillId="2" borderId="0" xfId="0" applyFont="1" applyFill="1"/>
    <xf numFmtId="0" fontId="5" fillId="2" borderId="32" xfId="0" applyFont="1" applyFill="1" applyBorder="1"/>
    <xf numFmtId="0" fontId="5" fillId="2" borderId="33" xfId="0" applyFont="1" applyFill="1" applyBorder="1" applyAlignment="1">
      <alignment vertical="center"/>
    </xf>
    <xf numFmtId="0" fontId="5" fillId="2" borderId="33" xfId="0" applyFont="1" applyFill="1" applyBorder="1" applyAlignment="1">
      <alignment horizontal="left" vertical="center" wrapText="1"/>
    </xf>
    <xf numFmtId="0" fontId="5" fillId="2" borderId="3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right" vertical="center"/>
    </xf>
    <xf numFmtId="0" fontId="5" fillId="2" borderId="2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5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9" xfId="0" applyFont="1" applyFill="1" applyBorder="1" applyAlignment="1">
      <alignment horizontal="center" vertical="center"/>
    </xf>
    <xf numFmtId="2" fontId="12" fillId="2" borderId="13" xfId="0" applyNumberFormat="1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" fontId="16" fillId="2" borderId="5" xfId="0" applyNumberFormat="1" applyFont="1" applyFill="1" applyBorder="1" applyAlignment="1">
      <alignment vertical="center"/>
    </xf>
    <xf numFmtId="15" fontId="16" fillId="2" borderId="5" xfId="0" applyNumberFormat="1" applyFont="1" applyFill="1" applyBorder="1" applyAlignment="1">
      <alignment vertical="center"/>
    </xf>
    <xf numFmtId="0" fontId="15" fillId="2" borderId="9" xfId="0" applyFont="1" applyFill="1" applyBorder="1" applyAlignment="1">
      <alignment horizontal="center" vertical="center"/>
    </xf>
    <xf numFmtId="2" fontId="15" fillId="2" borderId="13" xfId="0" applyNumberFormat="1" applyFont="1" applyFill="1" applyBorder="1" applyAlignment="1">
      <alignment horizontal="center" vertical="center" wrapText="1"/>
    </xf>
    <xf numFmtId="164" fontId="15" fillId="0" borderId="13" xfId="1" applyFont="1" applyFill="1" applyBorder="1" applyAlignment="1" applyProtection="1">
      <alignment vertical="center"/>
      <protection locked="0"/>
    </xf>
    <xf numFmtId="4" fontId="15" fillId="2" borderId="20" xfId="0" applyNumberFormat="1" applyFont="1" applyFill="1" applyBorder="1" applyAlignment="1">
      <alignment horizontal="right" vertical="center"/>
    </xf>
    <xf numFmtId="4" fontId="18" fillId="2" borderId="5" xfId="0" applyNumberFormat="1" applyFont="1" applyFill="1" applyBorder="1" applyAlignment="1">
      <alignment vertical="center"/>
    </xf>
    <xf numFmtId="0" fontId="15" fillId="2" borderId="30" xfId="0" applyFont="1" applyFill="1" applyBorder="1" applyAlignment="1">
      <alignment horizontal="right" vertical="center"/>
    </xf>
    <xf numFmtId="0" fontId="15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right" vertical="center"/>
    </xf>
    <xf numFmtId="0" fontId="15" fillId="2" borderId="27" xfId="0" applyFont="1" applyFill="1" applyBorder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4" fontId="15" fillId="0" borderId="15" xfId="0" applyNumberFormat="1" applyFont="1" applyBorder="1" applyAlignment="1">
      <alignment horizontal="center" vertical="center"/>
    </xf>
    <xf numFmtId="0" fontId="5" fillId="2" borderId="34" xfId="0" quotePrefix="1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top" wrapText="1"/>
    </xf>
    <xf numFmtId="0" fontId="5" fillId="2" borderId="35" xfId="0" applyFont="1" applyFill="1" applyBorder="1" applyAlignment="1">
      <alignment vertical="center" wrapText="1"/>
    </xf>
    <xf numFmtId="0" fontId="5" fillId="2" borderId="36" xfId="0" applyFont="1" applyFill="1" applyBorder="1" applyAlignment="1">
      <alignment horizontal="left" vertical="center" wrapText="1"/>
    </xf>
    <xf numFmtId="0" fontId="5" fillId="2" borderId="36" xfId="0" quotePrefix="1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left" vertical="center" wrapText="1"/>
    </xf>
    <xf numFmtId="0" fontId="5" fillId="2" borderId="36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2" fontId="15" fillId="2" borderId="36" xfId="0" applyNumberFormat="1" applyFont="1" applyFill="1" applyBorder="1" applyAlignment="1">
      <alignment horizontal="center" vertical="center" wrapText="1"/>
    </xf>
    <xf numFmtId="4" fontId="15" fillId="0" borderId="37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vertical="center"/>
    </xf>
    <xf numFmtId="0" fontId="5" fillId="2" borderId="38" xfId="0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4" fontId="18" fillId="2" borderId="27" xfId="0" applyNumberFormat="1" applyFont="1" applyFill="1" applyBorder="1" applyAlignment="1">
      <alignment vertical="center"/>
    </xf>
    <xf numFmtId="0" fontId="5" fillId="2" borderId="39" xfId="0" quotePrefix="1" applyFont="1" applyFill="1" applyBorder="1" applyAlignment="1">
      <alignment horizontal="center" vertical="center" wrapText="1"/>
    </xf>
    <xf numFmtId="4" fontId="5" fillId="0" borderId="40" xfId="0" applyNumberFormat="1" applyFont="1" applyBorder="1" applyAlignment="1">
      <alignment horizontal="center" vertical="center"/>
    </xf>
    <xf numFmtId="4" fontId="8" fillId="2" borderId="20" xfId="0" applyNumberFormat="1" applyFont="1" applyFill="1" applyBorder="1" applyAlignment="1">
      <alignment horizontal="right" vertical="center"/>
    </xf>
    <xf numFmtId="4" fontId="15" fillId="2" borderId="15" xfId="0" applyNumberFormat="1" applyFont="1" applyFill="1" applyBorder="1" applyAlignment="1">
      <alignment horizontal="center" vertical="center"/>
    </xf>
    <xf numFmtId="164" fontId="15" fillId="2" borderId="13" xfId="1" applyFont="1" applyFill="1" applyBorder="1" applyAlignment="1" applyProtection="1">
      <alignment vertical="center"/>
      <protection locked="0"/>
    </xf>
    <xf numFmtId="4" fontId="15" fillId="2" borderId="12" xfId="0" applyNumberFormat="1" applyFont="1" applyFill="1" applyBorder="1" applyAlignment="1">
      <alignment horizontal="center" vertical="center"/>
    </xf>
    <xf numFmtId="4" fontId="9" fillId="3" borderId="27" xfId="0" applyNumberFormat="1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vertical="center"/>
    </xf>
    <xf numFmtId="0" fontId="5" fillId="2" borderId="41" xfId="0" applyFont="1" applyFill="1" applyBorder="1" applyAlignment="1">
      <alignment vertical="center"/>
    </xf>
    <xf numFmtId="4" fontId="12" fillId="2" borderId="20" xfId="0" applyNumberFormat="1" applyFont="1" applyFill="1" applyBorder="1" applyAlignment="1">
      <alignment horizontal="right" vertical="center"/>
    </xf>
    <xf numFmtId="4" fontId="20" fillId="4" borderId="42" xfId="0" applyNumberFormat="1" applyFont="1" applyFill="1" applyBorder="1" applyAlignment="1">
      <alignment vertical="center"/>
    </xf>
    <xf numFmtId="0" fontId="5" fillId="0" borderId="34" xfId="0" applyFont="1" applyBorder="1" applyAlignment="1">
      <alignment horizontal="center" vertical="center" wrapText="1"/>
    </xf>
    <xf numFmtId="2" fontId="5" fillId="2" borderId="10" xfId="0" applyNumberFormat="1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top" wrapText="1"/>
    </xf>
    <xf numFmtId="2" fontId="5" fillId="2" borderId="14" xfId="0" applyNumberFormat="1" applyFont="1" applyFill="1" applyBorder="1" applyAlignment="1">
      <alignment horizontal="left" vertical="top" wrapText="1"/>
    </xf>
    <xf numFmtId="2" fontId="5" fillId="2" borderId="14" xfId="0" applyNumberFormat="1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top" wrapText="1"/>
    </xf>
    <xf numFmtId="0" fontId="5" fillId="2" borderId="34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" fontId="12" fillId="5" borderId="11" xfId="0" applyNumberFormat="1" applyFont="1" applyFill="1" applyBorder="1" applyAlignment="1">
      <alignment horizontal="center" vertical="center" wrapText="1"/>
    </xf>
    <xf numFmtId="0" fontId="5" fillId="2" borderId="26" xfId="0" quotePrefix="1" applyFont="1" applyFill="1" applyBorder="1" applyAlignment="1">
      <alignment horizontal="center" vertical="center" wrapText="1"/>
    </xf>
    <xf numFmtId="4" fontId="12" fillId="2" borderId="11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right" vertical="center"/>
    </xf>
    <xf numFmtId="16" fontId="16" fillId="2" borderId="3" xfId="0" applyNumberFormat="1" applyFont="1" applyFill="1" applyBorder="1" applyAlignment="1">
      <alignment vertical="center"/>
    </xf>
    <xf numFmtId="0" fontId="5" fillId="2" borderId="30" xfId="0" quotePrefix="1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2" fontId="5" fillId="2" borderId="10" xfId="0" applyNumberFormat="1" applyFont="1" applyFill="1" applyBorder="1" applyAlignment="1">
      <alignment horizontal="left" vertical="top" wrapText="1"/>
    </xf>
    <xf numFmtId="2" fontId="5" fillId="2" borderId="35" xfId="0" applyNumberFormat="1" applyFont="1" applyFill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center" vertical="center" wrapText="1"/>
    </xf>
    <xf numFmtId="164" fontId="15" fillId="0" borderId="36" xfId="1" applyFont="1" applyFill="1" applyBorder="1" applyAlignment="1" applyProtection="1">
      <alignment vertical="center"/>
      <protection locked="0"/>
    </xf>
    <xf numFmtId="4" fontId="15" fillId="2" borderId="37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/>
    </xf>
    <xf numFmtId="4" fontId="21" fillId="4" borderId="27" xfId="0" applyNumberFormat="1" applyFont="1" applyFill="1" applyBorder="1" applyAlignment="1">
      <alignment vertical="center"/>
    </xf>
    <xf numFmtId="0" fontId="5" fillId="2" borderId="44" xfId="0" applyFont="1" applyFill="1" applyBorder="1"/>
    <xf numFmtId="0" fontId="5" fillId="2" borderId="22" xfId="0" applyFont="1" applyFill="1" applyBorder="1" applyAlignment="1">
      <alignment horizontal="left" vertical="center" wrapText="1"/>
    </xf>
    <xf numFmtId="4" fontId="15" fillId="2" borderId="22" xfId="0" applyNumberFormat="1" applyFont="1" applyFill="1" applyBorder="1" applyAlignment="1">
      <alignment horizontal="right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5" fillId="2" borderId="13" xfId="0" quotePrefix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AB42-DA4F-42FC-9A71-311206A37D6B}">
  <sheetPr>
    <pageSetUpPr fitToPage="1"/>
  </sheetPr>
  <dimension ref="A1:H61"/>
  <sheetViews>
    <sheetView topLeftCell="A13" zoomScale="85" zoomScaleNormal="85" workbookViewId="0">
      <selection activeCell="H7" sqref="H7"/>
    </sheetView>
  </sheetViews>
  <sheetFormatPr defaultColWidth="9" defaultRowHeight="11.25" x14ac:dyDescent="0.2"/>
  <cols>
    <col min="1" max="1" width="22.42578125" style="7" customWidth="1"/>
    <col min="2" max="2" width="25.5703125" style="89" customWidth="1"/>
    <col min="3" max="3" width="9.71093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92" customWidth="1"/>
    <col min="8" max="8" width="13.42578125" style="89" customWidth="1"/>
    <col min="9" max="9" width="2.42578125" style="7" customWidth="1"/>
    <col min="10" max="11" width="9" style="7"/>
    <col min="12" max="12" width="16.140625" style="7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5"/>
      <c r="H1" s="6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11" t="s">
        <v>3</v>
      </c>
      <c r="H3" s="12" t="s">
        <v>129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1" t="s">
        <v>6</v>
      </c>
      <c r="H4" s="14">
        <v>45688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8" t="s">
        <v>8</v>
      </c>
      <c r="H5" s="219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6" t="s">
        <v>15</v>
      </c>
      <c r="H6" s="16" t="s">
        <v>16</v>
      </c>
    </row>
    <row r="7" spans="1:8" ht="143.25" customHeight="1" x14ac:dyDescent="0.2">
      <c r="A7" s="152" t="s">
        <v>66</v>
      </c>
      <c r="B7" s="153" t="s">
        <v>67</v>
      </c>
      <c r="C7" s="39" t="s">
        <v>22</v>
      </c>
      <c r="D7" s="20" t="s">
        <v>45</v>
      </c>
      <c r="E7" s="21" t="s">
        <v>54</v>
      </c>
      <c r="F7" s="26">
        <v>32</v>
      </c>
      <c r="G7" s="27"/>
      <c r="H7" s="22"/>
    </row>
    <row r="8" spans="1:8" ht="25.5" x14ac:dyDescent="0.2">
      <c r="A8" s="95" t="s">
        <v>70</v>
      </c>
      <c r="B8" s="44" t="s">
        <v>71</v>
      </c>
      <c r="C8" s="42" t="s">
        <v>68</v>
      </c>
      <c r="D8" s="25" t="s">
        <v>69</v>
      </c>
      <c r="E8" s="32" t="s">
        <v>27</v>
      </c>
      <c r="F8" s="26">
        <v>9</v>
      </c>
      <c r="G8" s="27"/>
      <c r="H8" s="34"/>
    </row>
    <row r="9" spans="1:8" ht="25.5" x14ac:dyDescent="0.2">
      <c r="A9" s="36" t="s">
        <v>70</v>
      </c>
      <c r="B9" s="41" t="s">
        <v>73</v>
      </c>
      <c r="C9" s="31" t="s">
        <v>24</v>
      </c>
      <c r="D9" s="25" t="s">
        <v>72</v>
      </c>
      <c r="E9" s="32" t="s">
        <v>54</v>
      </c>
      <c r="F9" s="26">
        <v>5</v>
      </c>
      <c r="G9" s="27"/>
      <c r="H9" s="22"/>
    </row>
    <row r="10" spans="1:8" ht="36.75" customHeight="1" x14ac:dyDescent="0.2">
      <c r="A10" s="43" t="s">
        <v>70</v>
      </c>
      <c r="B10" s="44" t="s">
        <v>76</v>
      </c>
      <c r="C10" s="42" t="s">
        <v>74</v>
      </c>
      <c r="D10" s="25" t="s">
        <v>75</v>
      </c>
      <c r="E10" s="32" t="s">
        <v>54</v>
      </c>
      <c r="F10" s="26">
        <v>1</v>
      </c>
      <c r="G10" s="27"/>
      <c r="H10" s="22"/>
    </row>
    <row r="11" spans="1:8" ht="34.5" customHeight="1" x14ac:dyDescent="0.2">
      <c r="A11" s="43" t="s">
        <v>70</v>
      </c>
      <c r="B11" s="44" t="s">
        <v>78</v>
      </c>
      <c r="C11" s="42" t="s">
        <v>77</v>
      </c>
      <c r="D11" s="25" t="s">
        <v>79</v>
      </c>
      <c r="E11" s="32" t="s">
        <v>21</v>
      </c>
      <c r="F11" s="26">
        <v>10</v>
      </c>
      <c r="G11" s="27"/>
      <c r="H11" s="22"/>
    </row>
    <row r="12" spans="1:8" ht="42.75" customHeight="1" x14ac:dyDescent="0.2">
      <c r="A12" s="43" t="s">
        <v>82</v>
      </c>
      <c r="B12" s="44" t="s">
        <v>83</v>
      </c>
      <c r="C12" s="42" t="s">
        <v>80</v>
      </c>
      <c r="D12" s="25" t="s">
        <v>81</v>
      </c>
      <c r="E12" s="32" t="s">
        <v>20</v>
      </c>
      <c r="F12" s="26">
        <v>15</v>
      </c>
      <c r="G12" s="27"/>
      <c r="H12" s="22"/>
    </row>
    <row r="13" spans="1:8" ht="37.5" customHeight="1" x14ac:dyDescent="0.2">
      <c r="A13" s="43" t="s">
        <v>87</v>
      </c>
      <c r="B13" s="44" t="s">
        <v>86</v>
      </c>
      <c r="C13" s="42" t="s">
        <v>84</v>
      </c>
      <c r="D13" s="25" t="s">
        <v>85</v>
      </c>
      <c r="E13" s="32" t="s">
        <v>20</v>
      </c>
      <c r="F13" s="26">
        <v>30</v>
      </c>
      <c r="G13" s="27"/>
      <c r="H13" s="22"/>
    </row>
    <row r="14" spans="1:8" ht="51" x14ac:dyDescent="0.2">
      <c r="A14" s="45" t="s">
        <v>88</v>
      </c>
      <c r="B14" s="35" t="s">
        <v>89</v>
      </c>
      <c r="C14" s="42" t="s">
        <v>50</v>
      </c>
      <c r="D14" s="25" t="s">
        <v>59</v>
      </c>
      <c r="E14" s="32" t="s">
        <v>20</v>
      </c>
      <c r="F14" s="26">
        <v>47</v>
      </c>
      <c r="G14" s="27"/>
      <c r="H14" s="22"/>
    </row>
    <row r="15" spans="1:8" ht="191.25" x14ac:dyDescent="0.2">
      <c r="A15" s="45" t="s">
        <v>90</v>
      </c>
      <c r="B15" s="35" t="s">
        <v>91</v>
      </c>
      <c r="C15" s="42" t="s">
        <v>25</v>
      </c>
      <c r="D15" s="25" t="s">
        <v>46</v>
      </c>
      <c r="E15" s="32" t="s">
        <v>21</v>
      </c>
      <c r="F15" s="26">
        <v>72</v>
      </c>
      <c r="G15" s="27"/>
      <c r="H15" s="22"/>
    </row>
    <row r="16" spans="1:8" ht="29.25" customHeight="1" x14ac:dyDescent="0.2">
      <c r="A16" s="155" t="s">
        <v>94</v>
      </c>
      <c r="B16" s="25" t="s">
        <v>93</v>
      </c>
      <c r="C16" s="42" t="s">
        <v>47</v>
      </c>
      <c r="D16" s="25" t="s">
        <v>92</v>
      </c>
      <c r="E16" s="32" t="s">
        <v>18</v>
      </c>
      <c r="F16" s="26">
        <v>2</v>
      </c>
      <c r="G16" s="27"/>
      <c r="H16" s="22"/>
    </row>
    <row r="17" spans="1:8" ht="25.5" x14ac:dyDescent="0.2">
      <c r="A17" s="45" t="s">
        <v>97</v>
      </c>
      <c r="B17" s="35" t="s">
        <v>96</v>
      </c>
      <c r="C17" s="42" t="s">
        <v>26</v>
      </c>
      <c r="D17" s="25" t="s">
        <v>95</v>
      </c>
      <c r="E17" s="32" t="s">
        <v>27</v>
      </c>
      <c r="F17" s="26">
        <v>7</v>
      </c>
      <c r="G17" s="27"/>
      <c r="H17" s="22"/>
    </row>
    <row r="18" spans="1:8" ht="111.75" customHeight="1" x14ac:dyDescent="0.2">
      <c r="A18" s="156" t="s">
        <v>99</v>
      </c>
      <c r="B18" s="24" t="s">
        <v>100</v>
      </c>
      <c r="C18" s="39" t="s">
        <v>28</v>
      </c>
      <c r="D18" s="20" t="s">
        <v>98</v>
      </c>
      <c r="E18" s="39" t="s">
        <v>27</v>
      </c>
      <c r="F18" s="28">
        <v>48</v>
      </c>
      <c r="G18" s="27"/>
      <c r="H18" s="29"/>
    </row>
    <row r="19" spans="1:8" ht="32.25" customHeight="1" x14ac:dyDescent="0.2">
      <c r="A19" s="158" t="s">
        <v>101</v>
      </c>
      <c r="B19" s="47" t="s">
        <v>102</v>
      </c>
      <c r="C19" s="42" t="s">
        <v>62</v>
      </c>
      <c r="D19" s="35" t="s">
        <v>63</v>
      </c>
      <c r="E19" s="42" t="s">
        <v>18</v>
      </c>
      <c r="F19" s="48">
        <v>9</v>
      </c>
      <c r="G19" s="49"/>
      <c r="H19" s="50"/>
    </row>
    <row r="20" spans="1:8" ht="38.25" x14ac:dyDescent="0.2">
      <c r="A20" s="45" t="s">
        <v>105</v>
      </c>
      <c r="B20" s="35" t="s">
        <v>106</v>
      </c>
      <c r="C20" s="42" t="s">
        <v>103</v>
      </c>
      <c r="D20" s="25" t="s">
        <v>104</v>
      </c>
      <c r="E20" s="32" t="s">
        <v>18</v>
      </c>
      <c r="F20" s="26">
        <v>17</v>
      </c>
      <c r="G20" s="27"/>
      <c r="H20" s="22"/>
    </row>
    <row r="21" spans="1:8" ht="25.5" x14ac:dyDescent="0.2">
      <c r="A21" s="33" t="s">
        <v>108</v>
      </c>
      <c r="B21" s="35" t="s">
        <v>49</v>
      </c>
      <c r="C21" s="42" t="s">
        <v>29</v>
      </c>
      <c r="D21" s="25" t="s">
        <v>107</v>
      </c>
      <c r="E21" s="32" t="s">
        <v>18</v>
      </c>
      <c r="F21" s="26">
        <v>2</v>
      </c>
      <c r="G21" s="27"/>
      <c r="H21" s="22"/>
    </row>
    <row r="22" spans="1:8" ht="29.25" customHeight="1" x14ac:dyDescent="0.2">
      <c r="A22" s="30" t="s">
        <v>111</v>
      </c>
      <c r="B22" s="18" t="s">
        <v>112</v>
      </c>
      <c r="C22" s="42" t="s">
        <v>109</v>
      </c>
      <c r="D22" s="25" t="s">
        <v>110</v>
      </c>
      <c r="E22" s="32" t="s">
        <v>18</v>
      </c>
      <c r="F22" s="26">
        <v>7</v>
      </c>
      <c r="G22" s="27"/>
      <c r="H22" s="22"/>
    </row>
    <row r="23" spans="1:8" ht="25.5" x14ac:dyDescent="0.2">
      <c r="A23" s="33" t="s">
        <v>70</v>
      </c>
      <c r="B23" s="35" t="s">
        <v>76</v>
      </c>
      <c r="C23" s="42" t="s">
        <v>113</v>
      </c>
      <c r="D23" s="25" t="s">
        <v>114</v>
      </c>
      <c r="E23" s="32" t="s">
        <v>21</v>
      </c>
      <c r="F23" s="26">
        <v>1</v>
      </c>
      <c r="G23" s="27"/>
      <c r="H23" s="22"/>
    </row>
    <row r="24" spans="1:8" ht="25.5" x14ac:dyDescent="0.2">
      <c r="A24" s="37" t="s">
        <v>70</v>
      </c>
      <c r="B24" s="24" t="s">
        <v>117</v>
      </c>
      <c r="C24" s="39" t="s">
        <v>115</v>
      </c>
      <c r="D24" s="20" t="s">
        <v>116</v>
      </c>
      <c r="E24" s="39" t="s">
        <v>27</v>
      </c>
      <c r="F24" s="28">
        <v>7</v>
      </c>
      <c r="G24" s="27"/>
      <c r="H24" s="29"/>
    </row>
    <row r="25" spans="1:8" ht="51" customHeight="1" x14ac:dyDescent="0.2">
      <c r="A25" s="157" t="s">
        <v>118</v>
      </c>
      <c r="B25" s="159" t="s">
        <v>119</v>
      </c>
      <c r="C25" s="42" t="s">
        <v>32</v>
      </c>
      <c r="D25" s="35" t="s">
        <v>44</v>
      </c>
      <c r="E25" s="42" t="s">
        <v>18</v>
      </c>
      <c r="F25" s="48">
        <v>7</v>
      </c>
      <c r="G25" s="49"/>
      <c r="H25" s="50"/>
    </row>
    <row r="26" spans="1:8" ht="63.75" x14ac:dyDescent="0.2">
      <c r="A26" s="126" t="s">
        <v>121</v>
      </c>
      <c r="B26" s="154" t="s">
        <v>122</v>
      </c>
      <c r="C26" s="42" t="s">
        <v>48</v>
      </c>
      <c r="D26" s="25" t="s">
        <v>120</v>
      </c>
      <c r="E26" s="32" t="s">
        <v>18</v>
      </c>
      <c r="F26" s="26">
        <v>10</v>
      </c>
      <c r="G26" s="27"/>
      <c r="H26" s="22"/>
    </row>
    <row r="27" spans="1:8" ht="25.5" x14ac:dyDescent="0.2">
      <c r="A27" s="45" t="s">
        <v>111</v>
      </c>
      <c r="B27" s="35" t="s">
        <v>125</v>
      </c>
      <c r="C27" s="42" t="s">
        <v>123</v>
      </c>
      <c r="D27" s="25" t="s">
        <v>124</v>
      </c>
      <c r="E27" s="32" t="s">
        <v>21</v>
      </c>
      <c r="F27" s="26">
        <v>5</v>
      </c>
      <c r="G27" s="27"/>
      <c r="H27" s="22"/>
    </row>
    <row r="28" spans="1:8" ht="29.25" customHeight="1" x14ac:dyDescent="0.2">
      <c r="A28" s="45" t="s">
        <v>70</v>
      </c>
      <c r="B28" s="24" t="s">
        <v>128</v>
      </c>
      <c r="C28" s="42" t="s">
        <v>126</v>
      </c>
      <c r="D28" s="25" t="s">
        <v>127</v>
      </c>
      <c r="E28" s="32" t="s">
        <v>18</v>
      </c>
      <c r="F28" s="26">
        <v>3</v>
      </c>
      <c r="G28" s="27"/>
      <c r="H28" s="22"/>
    </row>
    <row r="29" spans="1:8" ht="12" customHeight="1" x14ac:dyDescent="0.2">
      <c r="A29" s="46"/>
      <c r="B29" s="47"/>
      <c r="C29" s="42"/>
      <c r="D29" s="35"/>
      <c r="E29" s="42"/>
      <c r="F29" s="48"/>
      <c r="G29" s="49"/>
      <c r="H29" s="50"/>
    </row>
    <row r="30" spans="1:8" ht="12" customHeight="1" thickBot="1" x14ac:dyDescent="0.25">
      <c r="A30" s="51"/>
      <c r="B30" s="135"/>
      <c r="C30" s="136"/>
      <c r="D30" s="54"/>
      <c r="E30" s="137"/>
      <c r="F30" s="56"/>
      <c r="G30" s="57" t="s">
        <v>60</v>
      </c>
      <c r="H30" s="145">
        <f>SUM(H7:H28)</f>
        <v>0</v>
      </c>
    </row>
    <row r="31" spans="1:8" ht="13.5" thickBot="1" x14ac:dyDescent="0.25">
      <c r="A31" s="58"/>
      <c r="B31" s="213" t="s">
        <v>33</v>
      </c>
      <c r="C31" s="214"/>
      <c r="D31" s="59"/>
      <c r="E31" s="60"/>
      <c r="F31" s="213" t="s">
        <v>33</v>
      </c>
      <c r="G31" s="215"/>
      <c r="H31" s="214"/>
    </row>
    <row r="32" spans="1:8" ht="12.75" x14ac:dyDescent="0.2">
      <c r="A32" s="58"/>
      <c r="B32" s="195" t="s">
        <v>11</v>
      </c>
      <c r="C32" s="195" t="s">
        <v>34</v>
      </c>
      <c r="D32" s="59"/>
      <c r="E32" s="61"/>
      <c r="F32" s="195" t="s">
        <v>15</v>
      </c>
      <c r="G32" s="195" t="s">
        <v>35</v>
      </c>
      <c r="H32" s="216" t="s">
        <v>36</v>
      </c>
    </row>
    <row r="33" spans="1:8" ht="13.5" thickBot="1" x14ac:dyDescent="0.25">
      <c r="A33" s="58"/>
      <c r="B33" s="196"/>
      <c r="C33" s="196"/>
      <c r="D33" s="59"/>
      <c r="E33" s="61"/>
      <c r="F33" s="196"/>
      <c r="G33" s="196"/>
      <c r="H33" s="217"/>
    </row>
    <row r="34" spans="1:8" ht="12.75" x14ac:dyDescent="0.2">
      <c r="A34" s="58"/>
      <c r="B34" s="160" t="s">
        <v>22</v>
      </c>
      <c r="C34" s="125">
        <v>32</v>
      </c>
      <c r="D34" s="59"/>
      <c r="E34" s="61"/>
      <c r="F34" s="64"/>
      <c r="G34" s="65"/>
      <c r="H34" s="66"/>
    </row>
    <row r="35" spans="1:8" ht="12.75" x14ac:dyDescent="0.2">
      <c r="A35" s="58"/>
      <c r="B35" s="70" t="s">
        <v>68</v>
      </c>
      <c r="C35" s="63">
        <v>9</v>
      </c>
      <c r="D35" s="59"/>
      <c r="E35" s="61"/>
      <c r="F35" s="64"/>
      <c r="G35" s="65"/>
      <c r="H35" s="66"/>
    </row>
    <row r="36" spans="1:8" ht="12.75" x14ac:dyDescent="0.2">
      <c r="A36" s="58"/>
      <c r="B36" s="68" t="s">
        <v>24</v>
      </c>
      <c r="C36" s="63">
        <v>5</v>
      </c>
      <c r="D36" s="59"/>
      <c r="E36" s="61"/>
      <c r="F36" s="64"/>
      <c r="G36" s="65"/>
      <c r="H36" s="66"/>
    </row>
    <row r="37" spans="1:8" ht="12.75" x14ac:dyDescent="0.2">
      <c r="A37" s="58"/>
      <c r="B37" s="70" t="s">
        <v>74</v>
      </c>
      <c r="C37" s="63">
        <v>1</v>
      </c>
      <c r="D37" s="59"/>
      <c r="E37" s="61"/>
      <c r="F37" s="64"/>
      <c r="G37" s="65"/>
      <c r="H37" s="66"/>
    </row>
    <row r="38" spans="1:8" ht="12.75" x14ac:dyDescent="0.2">
      <c r="A38" s="58"/>
      <c r="B38" s="70" t="s">
        <v>77</v>
      </c>
      <c r="C38" s="63">
        <v>10</v>
      </c>
      <c r="D38" s="59"/>
      <c r="E38" s="61"/>
      <c r="F38" s="64"/>
      <c r="G38" s="65"/>
      <c r="H38" s="66"/>
    </row>
    <row r="39" spans="1:8" ht="12.75" x14ac:dyDescent="0.2">
      <c r="A39" s="58"/>
      <c r="B39" s="70" t="s">
        <v>80</v>
      </c>
      <c r="C39" s="63">
        <v>15</v>
      </c>
      <c r="D39" s="59"/>
      <c r="E39" s="61"/>
      <c r="F39" s="64"/>
      <c r="G39" s="65"/>
      <c r="H39" s="66"/>
    </row>
    <row r="40" spans="1:8" ht="12.75" x14ac:dyDescent="0.2">
      <c r="A40" s="58"/>
      <c r="B40" s="70" t="s">
        <v>84</v>
      </c>
      <c r="C40" s="63">
        <v>30</v>
      </c>
      <c r="D40" s="59"/>
      <c r="E40" s="61"/>
      <c r="F40" s="64"/>
      <c r="G40" s="65"/>
      <c r="H40" s="66"/>
    </row>
    <row r="41" spans="1:8" ht="12.75" x14ac:dyDescent="0.2">
      <c r="A41" s="58"/>
      <c r="B41" s="70" t="s">
        <v>50</v>
      </c>
      <c r="C41" s="63">
        <v>47</v>
      </c>
      <c r="D41" s="59"/>
      <c r="E41" s="61"/>
      <c r="F41" s="64"/>
      <c r="G41" s="65"/>
      <c r="H41" s="66"/>
    </row>
    <row r="42" spans="1:8" ht="12.75" x14ac:dyDescent="0.2">
      <c r="A42" s="58"/>
      <c r="B42" s="70" t="s">
        <v>25</v>
      </c>
      <c r="C42" s="63">
        <v>72</v>
      </c>
      <c r="D42" s="59"/>
      <c r="E42" s="61"/>
      <c r="F42" s="64"/>
      <c r="G42" s="65"/>
      <c r="H42" s="66"/>
    </row>
    <row r="43" spans="1:8" ht="12.75" x14ac:dyDescent="0.2">
      <c r="A43" s="58"/>
      <c r="B43" s="70" t="s">
        <v>47</v>
      </c>
      <c r="C43" s="63">
        <v>2</v>
      </c>
      <c r="D43" s="59"/>
      <c r="E43" s="61"/>
      <c r="F43" s="64"/>
      <c r="G43" s="65"/>
      <c r="H43" s="66"/>
    </row>
    <row r="44" spans="1:8" ht="12.75" x14ac:dyDescent="0.2">
      <c r="A44" s="58"/>
      <c r="B44" s="70" t="s">
        <v>26</v>
      </c>
      <c r="C44" s="63">
        <v>7</v>
      </c>
      <c r="D44" s="59"/>
      <c r="E44" s="61"/>
      <c r="F44" s="64"/>
      <c r="G44" s="65"/>
      <c r="H44" s="66"/>
    </row>
    <row r="45" spans="1:8" ht="12.75" x14ac:dyDescent="0.2">
      <c r="A45" s="58"/>
      <c r="B45" s="69" t="s">
        <v>28</v>
      </c>
      <c r="C45" s="67">
        <v>48</v>
      </c>
      <c r="D45" s="59"/>
      <c r="E45" s="61"/>
      <c r="F45" s="64"/>
      <c r="G45" s="65"/>
      <c r="H45" s="66"/>
    </row>
    <row r="46" spans="1:8" ht="12.75" x14ac:dyDescent="0.2">
      <c r="A46" s="58"/>
      <c r="B46" s="70" t="s">
        <v>62</v>
      </c>
      <c r="C46" s="161">
        <v>9</v>
      </c>
      <c r="D46" s="59"/>
      <c r="E46" s="61"/>
      <c r="F46" s="64"/>
      <c r="G46" s="65"/>
      <c r="H46" s="66"/>
    </row>
    <row r="47" spans="1:8" ht="12.75" x14ac:dyDescent="0.2">
      <c r="A47" s="58"/>
      <c r="B47" s="70" t="s">
        <v>103</v>
      </c>
      <c r="C47" s="63">
        <v>17</v>
      </c>
      <c r="D47" s="59"/>
      <c r="E47" s="61"/>
      <c r="F47" s="64"/>
      <c r="G47" s="65"/>
      <c r="H47" s="66"/>
    </row>
    <row r="48" spans="1:8" ht="12.75" x14ac:dyDescent="0.2">
      <c r="A48" s="58"/>
      <c r="B48" s="70" t="s">
        <v>29</v>
      </c>
      <c r="C48" s="63">
        <v>2</v>
      </c>
      <c r="D48" s="59"/>
      <c r="E48" s="61"/>
      <c r="F48" s="64"/>
      <c r="G48" s="65"/>
      <c r="H48" s="66"/>
    </row>
    <row r="49" spans="1:8" ht="12.75" x14ac:dyDescent="0.2">
      <c r="A49" s="58"/>
      <c r="B49" s="70" t="s">
        <v>109</v>
      </c>
      <c r="C49" s="63">
        <v>7</v>
      </c>
      <c r="D49" s="59"/>
      <c r="E49" s="61"/>
      <c r="F49" s="64"/>
      <c r="G49" s="65"/>
      <c r="H49" s="66"/>
    </row>
    <row r="50" spans="1:8" ht="12.75" x14ac:dyDescent="0.2">
      <c r="A50" s="58"/>
      <c r="B50" s="70" t="s">
        <v>113</v>
      </c>
      <c r="C50" s="63">
        <v>1</v>
      </c>
      <c r="D50" s="59"/>
      <c r="E50" s="61"/>
      <c r="F50" s="64"/>
      <c r="G50" s="65"/>
      <c r="H50" s="66"/>
    </row>
    <row r="51" spans="1:8" ht="12.75" x14ac:dyDescent="0.2">
      <c r="A51" s="58"/>
      <c r="B51" s="69" t="s">
        <v>115</v>
      </c>
      <c r="C51" s="67">
        <v>7</v>
      </c>
      <c r="D51" s="59"/>
      <c r="E51" s="61"/>
      <c r="F51" s="64"/>
      <c r="G51" s="65"/>
      <c r="H51" s="66"/>
    </row>
    <row r="52" spans="1:8" ht="12.75" x14ac:dyDescent="0.2">
      <c r="A52" s="58"/>
      <c r="B52" s="70" t="s">
        <v>32</v>
      </c>
      <c r="C52" s="161">
        <v>7</v>
      </c>
      <c r="D52" s="59"/>
      <c r="E52" s="61"/>
      <c r="F52" s="64"/>
      <c r="G52" s="65"/>
      <c r="H52" s="66"/>
    </row>
    <row r="53" spans="1:8" ht="12.75" x14ac:dyDescent="0.2">
      <c r="A53" s="58"/>
      <c r="B53" s="70" t="s">
        <v>48</v>
      </c>
      <c r="C53" s="63">
        <v>10</v>
      </c>
      <c r="D53" s="59"/>
      <c r="E53" s="61"/>
      <c r="F53" s="64"/>
      <c r="G53" s="65"/>
      <c r="H53" s="66"/>
    </row>
    <row r="54" spans="1:8" ht="12.75" x14ac:dyDescent="0.2">
      <c r="A54" s="58"/>
      <c r="B54" s="70" t="s">
        <v>123</v>
      </c>
      <c r="C54" s="63">
        <v>5</v>
      </c>
      <c r="D54" s="59"/>
      <c r="E54" s="61"/>
      <c r="F54" s="64"/>
      <c r="G54" s="65"/>
      <c r="H54" s="66"/>
    </row>
    <row r="55" spans="1:8" ht="12.75" x14ac:dyDescent="0.2">
      <c r="A55" s="58"/>
      <c r="B55" s="70" t="s">
        <v>126</v>
      </c>
      <c r="C55" s="63">
        <v>3</v>
      </c>
      <c r="D55" s="59"/>
      <c r="E55" s="61"/>
      <c r="F55" s="64"/>
      <c r="G55" s="65"/>
      <c r="H55" s="66"/>
    </row>
    <row r="56" spans="1:8" ht="13.5" thickBot="1" x14ac:dyDescent="0.25">
      <c r="A56" s="58"/>
      <c r="B56" s="71"/>
      <c r="C56" s="72"/>
      <c r="D56" s="59"/>
      <c r="E56" s="61"/>
      <c r="F56" s="64"/>
      <c r="G56" s="65"/>
      <c r="H56" s="66"/>
    </row>
    <row r="57" spans="1:8" s="78" customFormat="1" ht="12.75" x14ac:dyDescent="0.2">
      <c r="A57" s="73"/>
      <c r="B57" s="10"/>
      <c r="C57" s="10"/>
      <c r="D57" s="74"/>
      <c r="E57" s="75"/>
      <c r="F57" s="76" t="s">
        <v>37</v>
      </c>
      <c r="G57" s="77"/>
      <c r="H57" s="75"/>
    </row>
    <row r="58" spans="1:8" ht="11.25" customHeight="1" x14ac:dyDescent="0.2">
      <c r="A58" s="201" t="s">
        <v>38</v>
      </c>
      <c r="B58" s="202"/>
      <c r="C58" s="202"/>
      <c r="D58" s="202"/>
      <c r="E58" s="203"/>
      <c r="F58" s="190"/>
      <c r="G58" s="191"/>
      <c r="H58" s="66"/>
    </row>
    <row r="59" spans="1:8" s="81" customFormat="1" ht="28.5" customHeight="1" x14ac:dyDescent="0.2">
      <c r="A59" s="187"/>
      <c r="B59" s="188"/>
      <c r="C59" s="188"/>
      <c r="D59" s="188"/>
      <c r="E59" s="189"/>
      <c r="F59" s="190" t="s">
        <v>39</v>
      </c>
      <c r="G59" s="191"/>
      <c r="H59" s="80" t="s">
        <v>40</v>
      </c>
    </row>
    <row r="60" spans="1:8" s="81" customFormat="1" ht="54" customHeight="1" x14ac:dyDescent="0.2">
      <c r="A60" s="79"/>
      <c r="B60" s="192" t="s">
        <v>41</v>
      </c>
      <c r="C60" s="192"/>
      <c r="D60" s="192"/>
      <c r="E60" s="80"/>
      <c r="F60" s="193" t="s">
        <v>42</v>
      </c>
      <c r="G60" s="194"/>
      <c r="H60" s="80" t="s">
        <v>43</v>
      </c>
    </row>
    <row r="61" spans="1:8" s="81" customFormat="1" ht="13.5" thickBot="1" x14ac:dyDescent="0.25">
      <c r="A61" s="82"/>
      <c r="B61" s="83"/>
      <c r="C61" s="83"/>
      <c r="D61" s="84"/>
      <c r="E61" s="85"/>
      <c r="F61" s="86"/>
      <c r="G61" s="87"/>
      <c r="H61" s="88"/>
    </row>
  </sheetData>
  <mergeCells count="18">
    <mergeCell ref="A59:E59"/>
    <mergeCell ref="F59:G59"/>
    <mergeCell ref="B60:D60"/>
    <mergeCell ref="F60:G60"/>
    <mergeCell ref="B32:B33"/>
    <mergeCell ref="C32:C33"/>
    <mergeCell ref="F32:F33"/>
    <mergeCell ref="G32:G33"/>
    <mergeCell ref="H32:H33"/>
    <mergeCell ref="A58:E58"/>
    <mergeCell ref="F58:G58"/>
    <mergeCell ref="A2:H2"/>
    <mergeCell ref="A3:E3"/>
    <mergeCell ref="B4:C4"/>
    <mergeCell ref="A5:F5"/>
    <mergeCell ref="G5:H5"/>
    <mergeCell ref="B31:C31"/>
    <mergeCell ref="F31:H31"/>
  </mergeCells>
  <phoneticPr fontId="19" type="noConversion"/>
  <pageMargins left="0.25" right="0.25" top="0.75" bottom="0.7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31E2-8823-40FA-83CB-E780CC81FB6A}">
  <sheetPr>
    <pageSetUpPr fitToPage="1"/>
  </sheetPr>
  <dimension ref="A1:H74"/>
  <sheetViews>
    <sheetView zoomScale="85" zoomScaleNormal="85" workbookViewId="0">
      <selection activeCell="A6" sqref="A6:H6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0.7109375" style="89" customWidth="1"/>
    <col min="4" max="4" width="25" style="90" customWidth="1"/>
    <col min="5" max="5" width="9.85546875" style="91" customWidth="1"/>
    <col min="6" max="6" width="15.42578125" style="91" customWidth="1"/>
    <col min="7" max="7" width="10.42578125" style="103" customWidth="1"/>
    <col min="8" max="8" width="13.42578125" style="89" customWidth="1"/>
    <col min="9" max="9" width="2.42578125" style="7" customWidth="1"/>
    <col min="10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96"/>
      <c r="H1" s="6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97" t="s">
        <v>3</v>
      </c>
      <c r="H3" s="12" t="s">
        <v>130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97" t="s">
        <v>6</v>
      </c>
      <c r="H4" s="14">
        <v>45716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8" t="s">
        <v>8</v>
      </c>
      <c r="H5" s="219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98" t="s">
        <v>15</v>
      </c>
      <c r="H6" s="16" t="s">
        <v>16</v>
      </c>
    </row>
    <row r="7" spans="1:8" ht="80.25" customHeight="1" x14ac:dyDescent="0.2">
      <c r="A7" s="23" t="s">
        <v>131</v>
      </c>
      <c r="B7" s="24" t="s">
        <v>132</v>
      </c>
      <c r="C7" s="19" t="s">
        <v>22</v>
      </c>
      <c r="D7" s="20" t="s">
        <v>23</v>
      </c>
      <c r="E7" s="21" t="s">
        <v>54</v>
      </c>
      <c r="F7" s="146">
        <v>10</v>
      </c>
      <c r="G7" s="162"/>
      <c r="H7" s="29"/>
    </row>
    <row r="8" spans="1:8" ht="88.5" customHeight="1" x14ac:dyDescent="0.2">
      <c r="A8" s="23" t="s">
        <v>185</v>
      </c>
      <c r="B8" s="24" t="s">
        <v>184</v>
      </c>
      <c r="C8" s="31" t="s">
        <v>68</v>
      </c>
      <c r="D8" s="25" t="s">
        <v>133</v>
      </c>
      <c r="E8" s="32" t="s">
        <v>27</v>
      </c>
      <c r="F8" s="28">
        <v>19</v>
      </c>
      <c r="G8" s="162"/>
      <c r="H8" s="29"/>
    </row>
    <row r="9" spans="1:8" ht="33.75" customHeight="1" x14ac:dyDescent="0.2">
      <c r="A9" s="93" t="s">
        <v>134</v>
      </c>
      <c r="B9" s="24" t="s">
        <v>135</v>
      </c>
      <c r="C9" s="31" t="s">
        <v>24</v>
      </c>
      <c r="D9" s="25" t="s">
        <v>136</v>
      </c>
      <c r="E9" s="21" t="s">
        <v>54</v>
      </c>
      <c r="F9" s="26">
        <v>3</v>
      </c>
      <c r="G9" s="162"/>
      <c r="H9" s="29"/>
    </row>
    <row r="10" spans="1:8" ht="30.75" customHeight="1" x14ac:dyDescent="0.2">
      <c r="A10" s="93" t="s">
        <v>134</v>
      </c>
      <c r="B10" s="24" t="s">
        <v>137</v>
      </c>
      <c r="C10" s="31" t="s">
        <v>138</v>
      </c>
      <c r="D10" s="25" t="s">
        <v>139</v>
      </c>
      <c r="E10" s="21" t="s">
        <v>54</v>
      </c>
      <c r="F10" s="26">
        <v>2</v>
      </c>
      <c r="G10" s="162"/>
      <c r="H10" s="29"/>
    </row>
    <row r="11" spans="1:8" ht="27.75" customHeight="1" x14ac:dyDescent="0.2">
      <c r="A11" s="93" t="s">
        <v>134</v>
      </c>
      <c r="B11" s="24" t="s">
        <v>140</v>
      </c>
      <c r="C11" s="31" t="s">
        <v>74</v>
      </c>
      <c r="D11" s="25" t="s">
        <v>75</v>
      </c>
      <c r="E11" s="21" t="s">
        <v>54</v>
      </c>
      <c r="F11" s="26">
        <v>1</v>
      </c>
      <c r="G11" s="162"/>
      <c r="H11" s="29"/>
    </row>
    <row r="12" spans="1:8" ht="42" customHeight="1" x14ac:dyDescent="0.2">
      <c r="A12" s="93" t="s">
        <v>141</v>
      </c>
      <c r="B12" s="24" t="s">
        <v>142</v>
      </c>
      <c r="C12" s="31" t="s">
        <v>77</v>
      </c>
      <c r="D12" s="25" t="s">
        <v>79</v>
      </c>
      <c r="E12" s="32" t="s">
        <v>21</v>
      </c>
      <c r="F12" s="26">
        <v>12</v>
      </c>
      <c r="G12" s="162"/>
      <c r="H12" s="29"/>
    </row>
    <row r="13" spans="1:8" ht="30" customHeight="1" x14ac:dyDescent="0.2">
      <c r="A13" s="93" t="s">
        <v>134</v>
      </c>
      <c r="B13" s="24" t="s">
        <v>143</v>
      </c>
      <c r="C13" s="31" t="s">
        <v>80</v>
      </c>
      <c r="D13" s="25" t="s">
        <v>144</v>
      </c>
      <c r="E13" s="32" t="s">
        <v>20</v>
      </c>
      <c r="F13" s="26">
        <v>10</v>
      </c>
      <c r="G13" s="162"/>
      <c r="H13" s="29"/>
    </row>
    <row r="14" spans="1:8" ht="27" customHeight="1" x14ac:dyDescent="0.2">
      <c r="A14" s="93" t="s">
        <v>134</v>
      </c>
      <c r="B14" s="35" t="s">
        <v>64</v>
      </c>
      <c r="C14" s="31" t="s">
        <v>145</v>
      </c>
      <c r="D14" s="25" t="s">
        <v>146</v>
      </c>
      <c r="E14" s="32" t="s">
        <v>20</v>
      </c>
      <c r="F14" s="26">
        <v>5</v>
      </c>
      <c r="G14" s="162"/>
      <c r="H14" s="50"/>
    </row>
    <row r="15" spans="1:8" ht="28.5" customHeight="1" x14ac:dyDescent="0.2">
      <c r="A15" s="45" t="s">
        <v>147</v>
      </c>
      <c r="B15" s="35" t="s">
        <v>143</v>
      </c>
      <c r="C15" s="31" t="s">
        <v>50</v>
      </c>
      <c r="D15" s="25" t="s">
        <v>51</v>
      </c>
      <c r="E15" s="32" t="s">
        <v>21</v>
      </c>
      <c r="F15" s="26">
        <v>10</v>
      </c>
      <c r="G15" s="162"/>
      <c r="H15" s="50"/>
    </row>
    <row r="16" spans="1:8" ht="90" customHeight="1" x14ac:dyDescent="0.2">
      <c r="A16" s="93" t="s">
        <v>148</v>
      </c>
      <c r="B16" s="24" t="s">
        <v>149</v>
      </c>
      <c r="C16" s="31" t="s">
        <v>52</v>
      </c>
      <c r="D16" s="25" t="s">
        <v>53</v>
      </c>
      <c r="E16" s="32" t="s">
        <v>18</v>
      </c>
      <c r="F16" s="26">
        <v>14</v>
      </c>
      <c r="G16" s="162"/>
      <c r="H16" s="29"/>
    </row>
    <row r="17" spans="1:8" ht="132.75" customHeight="1" x14ac:dyDescent="0.2">
      <c r="A17" s="43" t="s">
        <v>187</v>
      </c>
      <c r="B17" s="35" t="s">
        <v>186</v>
      </c>
      <c r="C17" s="31" t="s">
        <v>25</v>
      </c>
      <c r="D17" s="25" t="s">
        <v>46</v>
      </c>
      <c r="E17" s="32" t="s">
        <v>21</v>
      </c>
      <c r="F17" s="26">
        <v>31</v>
      </c>
      <c r="G17" s="162"/>
      <c r="H17" s="50"/>
    </row>
    <row r="18" spans="1:8" ht="90" customHeight="1" x14ac:dyDescent="0.2">
      <c r="A18" s="45" t="s">
        <v>151</v>
      </c>
      <c r="B18" s="35" t="s">
        <v>152</v>
      </c>
      <c r="C18" s="31" t="s">
        <v>150</v>
      </c>
      <c r="D18" s="25" t="s">
        <v>153</v>
      </c>
      <c r="E18" s="32" t="s">
        <v>18</v>
      </c>
      <c r="F18" s="26">
        <v>20</v>
      </c>
      <c r="G18" s="162"/>
      <c r="H18" s="50"/>
    </row>
    <row r="19" spans="1:8" ht="29.25" customHeight="1" x14ac:dyDescent="0.2">
      <c r="A19" s="45" t="s">
        <v>154</v>
      </c>
      <c r="B19" s="35" t="s">
        <v>155</v>
      </c>
      <c r="C19" s="139" t="s">
        <v>26</v>
      </c>
      <c r="D19" s="25" t="s">
        <v>95</v>
      </c>
      <c r="E19" s="32" t="s">
        <v>27</v>
      </c>
      <c r="F19" s="26">
        <v>5</v>
      </c>
      <c r="G19" s="162"/>
      <c r="H19" s="140"/>
    </row>
    <row r="20" spans="1:8" ht="88.5" customHeight="1" x14ac:dyDescent="0.2">
      <c r="A20" s="93" t="s">
        <v>156</v>
      </c>
      <c r="B20" s="24" t="s">
        <v>188</v>
      </c>
      <c r="C20" s="31" t="s">
        <v>28</v>
      </c>
      <c r="D20" s="25" t="s">
        <v>157</v>
      </c>
      <c r="E20" s="32" t="s">
        <v>27</v>
      </c>
      <c r="F20" s="26">
        <v>29</v>
      </c>
      <c r="G20" s="162"/>
      <c r="H20" s="29"/>
    </row>
    <row r="21" spans="1:8" ht="27" customHeight="1" x14ac:dyDescent="0.2">
      <c r="A21" s="43" t="s">
        <v>134</v>
      </c>
      <c r="B21" s="35" t="s">
        <v>135</v>
      </c>
      <c r="C21" s="31" t="s">
        <v>62</v>
      </c>
      <c r="D21" s="25" t="s">
        <v>63</v>
      </c>
      <c r="E21" s="32" t="s">
        <v>18</v>
      </c>
      <c r="F21" s="26">
        <v>3</v>
      </c>
      <c r="G21" s="162"/>
      <c r="H21" s="50"/>
    </row>
    <row r="22" spans="1:8" ht="27" customHeight="1" x14ac:dyDescent="0.2">
      <c r="A22" s="43" t="s">
        <v>158</v>
      </c>
      <c r="B22" s="35" t="s">
        <v>159</v>
      </c>
      <c r="C22" s="31" t="s">
        <v>103</v>
      </c>
      <c r="D22" s="25" t="s">
        <v>104</v>
      </c>
      <c r="E22" s="32" t="s">
        <v>18</v>
      </c>
      <c r="F22" s="26">
        <v>10</v>
      </c>
      <c r="G22" s="162"/>
      <c r="H22" s="50"/>
    </row>
    <row r="23" spans="1:8" ht="27" customHeight="1" x14ac:dyDescent="0.2">
      <c r="A23" s="43" t="s">
        <v>160</v>
      </c>
      <c r="B23" s="35" t="s">
        <v>183</v>
      </c>
      <c r="C23" s="31" t="s">
        <v>29</v>
      </c>
      <c r="D23" s="25" t="s">
        <v>30</v>
      </c>
      <c r="E23" s="32" t="s">
        <v>18</v>
      </c>
      <c r="F23" s="26">
        <v>6</v>
      </c>
      <c r="G23" s="162"/>
      <c r="H23" s="50"/>
    </row>
    <row r="24" spans="1:8" ht="32.25" customHeight="1" x14ac:dyDescent="0.2">
      <c r="A24" s="45" t="s">
        <v>161</v>
      </c>
      <c r="B24" s="35" t="s">
        <v>162</v>
      </c>
      <c r="C24" s="31" t="s">
        <v>163</v>
      </c>
      <c r="D24" s="25" t="s">
        <v>164</v>
      </c>
      <c r="E24" s="32" t="s">
        <v>18</v>
      </c>
      <c r="F24" s="26">
        <v>4</v>
      </c>
      <c r="G24" s="162"/>
      <c r="H24" s="50"/>
    </row>
    <row r="25" spans="1:8" ht="26.25" customHeight="1" x14ac:dyDescent="0.2">
      <c r="A25" s="45" t="s">
        <v>147</v>
      </c>
      <c r="B25" s="35" t="s">
        <v>137</v>
      </c>
      <c r="C25" s="139" t="s">
        <v>109</v>
      </c>
      <c r="D25" s="25" t="s">
        <v>165</v>
      </c>
      <c r="E25" s="32" t="s">
        <v>18</v>
      </c>
      <c r="F25" s="26">
        <v>2</v>
      </c>
      <c r="G25" s="162"/>
      <c r="H25" s="140"/>
    </row>
    <row r="26" spans="1:8" ht="32.25" customHeight="1" x14ac:dyDescent="0.2">
      <c r="A26" s="93" t="s">
        <v>168</v>
      </c>
      <c r="B26" s="24" t="s">
        <v>169</v>
      </c>
      <c r="C26" s="31" t="s">
        <v>166</v>
      </c>
      <c r="D26" s="25" t="s">
        <v>167</v>
      </c>
      <c r="E26" s="32" t="s">
        <v>18</v>
      </c>
      <c r="F26" s="26">
        <v>30</v>
      </c>
      <c r="G26" s="162"/>
      <c r="H26" s="29"/>
    </row>
    <row r="27" spans="1:8" ht="27" customHeight="1" x14ac:dyDescent="0.2">
      <c r="A27" s="43" t="s">
        <v>134</v>
      </c>
      <c r="B27" s="35" t="s">
        <v>137</v>
      </c>
      <c r="C27" s="31" t="s">
        <v>170</v>
      </c>
      <c r="D27" s="25" t="s">
        <v>171</v>
      </c>
      <c r="E27" s="32" t="s">
        <v>18</v>
      </c>
      <c r="F27" s="26">
        <v>2</v>
      </c>
      <c r="G27" s="162"/>
      <c r="H27" s="50"/>
    </row>
    <row r="28" spans="1:8" ht="26.25" customHeight="1" x14ac:dyDescent="0.2">
      <c r="A28" s="45" t="s">
        <v>161</v>
      </c>
      <c r="B28" s="35" t="s">
        <v>172</v>
      </c>
      <c r="C28" s="31" t="s">
        <v>113</v>
      </c>
      <c r="D28" s="25" t="s">
        <v>173</v>
      </c>
      <c r="E28" s="32" t="s">
        <v>18</v>
      </c>
      <c r="F28" s="26">
        <v>3</v>
      </c>
      <c r="G28" s="162"/>
      <c r="H28" s="50"/>
    </row>
    <row r="29" spans="1:8" ht="26.25" customHeight="1" x14ac:dyDescent="0.2">
      <c r="A29" s="45" t="s">
        <v>134</v>
      </c>
      <c r="B29" s="35" t="s">
        <v>135</v>
      </c>
      <c r="C29" s="139" t="s">
        <v>174</v>
      </c>
      <c r="D29" s="25" t="s">
        <v>175</v>
      </c>
      <c r="E29" s="32" t="s">
        <v>18</v>
      </c>
      <c r="F29" s="26">
        <v>3</v>
      </c>
      <c r="G29" s="162"/>
      <c r="H29" s="140"/>
    </row>
    <row r="30" spans="1:8" ht="78" customHeight="1" x14ac:dyDescent="0.2">
      <c r="A30" s="45" t="s">
        <v>190</v>
      </c>
      <c r="B30" s="35" t="s">
        <v>189</v>
      </c>
      <c r="C30" s="139" t="s">
        <v>115</v>
      </c>
      <c r="D30" s="25" t="s">
        <v>176</v>
      </c>
      <c r="E30" s="32" t="s">
        <v>27</v>
      </c>
      <c r="F30" s="26">
        <v>11</v>
      </c>
      <c r="G30" s="162"/>
      <c r="H30" s="140"/>
    </row>
    <row r="31" spans="1:8" ht="26.25" customHeight="1" x14ac:dyDescent="0.2">
      <c r="A31" s="45" t="s">
        <v>177</v>
      </c>
      <c r="B31" s="35" t="s">
        <v>178</v>
      </c>
      <c r="C31" s="139" t="s">
        <v>48</v>
      </c>
      <c r="D31" s="25" t="s">
        <v>58</v>
      </c>
      <c r="E31" s="32" t="s">
        <v>18</v>
      </c>
      <c r="F31" s="26">
        <v>3</v>
      </c>
      <c r="G31" s="162"/>
      <c r="H31" s="140"/>
    </row>
    <row r="32" spans="1:8" ht="26.25" customHeight="1" x14ac:dyDescent="0.2">
      <c r="A32" s="45" t="s">
        <v>191</v>
      </c>
      <c r="B32" s="35" t="s">
        <v>192</v>
      </c>
      <c r="C32" s="139" t="s">
        <v>32</v>
      </c>
      <c r="D32" s="25" t="s">
        <v>193</v>
      </c>
      <c r="E32" s="32" t="s">
        <v>18</v>
      </c>
      <c r="F32" s="26">
        <v>2</v>
      </c>
      <c r="G32" s="162"/>
      <c r="H32" s="140"/>
    </row>
    <row r="33" spans="1:8" ht="26.25" customHeight="1" x14ac:dyDescent="0.2">
      <c r="A33" s="45" t="s">
        <v>134</v>
      </c>
      <c r="B33" s="35" t="s">
        <v>135</v>
      </c>
      <c r="C33" s="139" t="s">
        <v>179</v>
      </c>
      <c r="D33" s="25" t="s">
        <v>180</v>
      </c>
      <c r="E33" s="32" t="s">
        <v>18</v>
      </c>
      <c r="F33" s="26">
        <v>3</v>
      </c>
      <c r="G33" s="162"/>
      <c r="H33" s="140"/>
    </row>
    <row r="34" spans="1:8" ht="26.25" customHeight="1" x14ac:dyDescent="0.2">
      <c r="A34" s="45" t="s">
        <v>181</v>
      </c>
      <c r="B34" s="35" t="s">
        <v>182</v>
      </c>
      <c r="C34" s="139" t="s">
        <v>123</v>
      </c>
      <c r="D34" s="25" t="s">
        <v>124</v>
      </c>
      <c r="E34" s="32" t="s">
        <v>21</v>
      </c>
      <c r="F34" s="26">
        <v>3</v>
      </c>
      <c r="G34" s="162"/>
      <c r="H34" s="140"/>
    </row>
    <row r="35" spans="1:8" ht="26.25" customHeight="1" x14ac:dyDescent="0.2">
      <c r="A35" s="45" t="s">
        <v>134</v>
      </c>
      <c r="B35" s="35" t="s">
        <v>135</v>
      </c>
      <c r="C35" s="139" t="s">
        <v>126</v>
      </c>
      <c r="D35" s="25" t="s">
        <v>127</v>
      </c>
      <c r="E35" s="32" t="s">
        <v>18</v>
      </c>
      <c r="F35" s="26">
        <v>3</v>
      </c>
      <c r="G35" s="162"/>
      <c r="H35" s="140"/>
    </row>
    <row r="36" spans="1:8" ht="26.25" customHeight="1" x14ac:dyDescent="0.2">
      <c r="A36" s="45"/>
      <c r="B36" s="35"/>
      <c r="C36" s="139"/>
      <c r="D36" s="25"/>
      <c r="E36" s="32"/>
      <c r="F36" s="26"/>
      <c r="G36" s="99"/>
      <c r="H36" s="140"/>
    </row>
    <row r="37" spans="1:8" ht="19.5" customHeight="1" thickBot="1" x14ac:dyDescent="0.25">
      <c r="A37" s="51"/>
      <c r="B37" s="147"/>
      <c r="C37" s="148"/>
      <c r="D37" s="54"/>
      <c r="E37" s="137"/>
      <c r="F37" s="137"/>
      <c r="G37" s="149" t="s">
        <v>61</v>
      </c>
      <c r="H37" s="150">
        <f>SUM(H7:H28)</f>
        <v>0</v>
      </c>
    </row>
    <row r="38" spans="1:8" ht="13.5" thickBot="1" x14ac:dyDescent="0.25">
      <c r="A38" s="58"/>
      <c r="B38" s="213" t="s">
        <v>33</v>
      </c>
      <c r="C38" s="214"/>
      <c r="D38" s="59"/>
      <c r="E38" s="60"/>
      <c r="F38" s="213" t="s">
        <v>33</v>
      </c>
      <c r="G38" s="215"/>
      <c r="H38" s="214"/>
    </row>
    <row r="39" spans="1:8" ht="12.75" x14ac:dyDescent="0.2">
      <c r="A39" s="58"/>
      <c r="B39" s="195" t="s">
        <v>11</v>
      </c>
      <c r="C39" s="195" t="s">
        <v>34</v>
      </c>
      <c r="D39" s="59"/>
      <c r="E39" s="61"/>
      <c r="F39" s="195" t="s">
        <v>15</v>
      </c>
      <c r="G39" s="220" t="s">
        <v>35</v>
      </c>
      <c r="H39" s="216" t="s">
        <v>36</v>
      </c>
    </row>
    <row r="40" spans="1:8" ht="13.5" thickBot="1" x14ac:dyDescent="0.25">
      <c r="A40" s="58"/>
      <c r="B40" s="196"/>
      <c r="C40" s="196"/>
      <c r="D40" s="59"/>
      <c r="E40" s="61"/>
      <c r="F40" s="196"/>
      <c r="G40" s="221"/>
      <c r="H40" s="217"/>
    </row>
    <row r="41" spans="1:8" ht="12.75" x14ac:dyDescent="0.2">
      <c r="A41" s="58"/>
      <c r="B41" s="124" t="str">
        <f>C7</f>
        <v>ROTS0003-01</v>
      </c>
      <c r="C41" s="125">
        <f>F7</f>
        <v>10</v>
      </c>
      <c r="D41" s="59"/>
      <c r="E41" s="61"/>
      <c r="F41" s="64"/>
      <c r="G41" s="100"/>
      <c r="H41" s="66"/>
    </row>
    <row r="42" spans="1:8" ht="12.75" x14ac:dyDescent="0.2">
      <c r="A42" s="58"/>
      <c r="B42" s="62" t="str">
        <f t="shared" ref="B42:B69" si="0">C8</f>
        <v>ROTS0007-01</v>
      </c>
      <c r="C42" s="63">
        <f t="shared" ref="C42:C69" si="1">F8</f>
        <v>19</v>
      </c>
      <c r="D42" s="59"/>
      <c r="E42" s="61"/>
      <c r="F42" s="64"/>
      <c r="G42" s="100"/>
      <c r="H42" s="66"/>
    </row>
    <row r="43" spans="1:8" ht="12.75" x14ac:dyDescent="0.2">
      <c r="A43" s="58"/>
      <c r="B43" s="62" t="str">
        <f t="shared" si="0"/>
        <v>ROTS0008-02</v>
      </c>
      <c r="C43" s="63">
        <f t="shared" si="1"/>
        <v>3</v>
      </c>
      <c r="D43" s="59"/>
      <c r="E43" s="61"/>
      <c r="F43" s="64"/>
      <c r="G43" s="100"/>
      <c r="H43" s="66"/>
    </row>
    <row r="44" spans="1:8" ht="12.75" x14ac:dyDescent="0.2">
      <c r="A44" s="58"/>
      <c r="B44" s="62" t="str">
        <f t="shared" si="0"/>
        <v>ROTS0008-03</v>
      </c>
      <c r="C44" s="63">
        <f t="shared" si="1"/>
        <v>2</v>
      </c>
      <c r="D44" s="59"/>
      <c r="E44" s="61"/>
      <c r="F44" s="64"/>
      <c r="G44" s="100"/>
      <c r="H44" s="66"/>
    </row>
    <row r="45" spans="1:8" ht="12.75" x14ac:dyDescent="0.2">
      <c r="A45" s="58"/>
      <c r="B45" s="62" t="str">
        <f t="shared" si="0"/>
        <v>ROTS0009-02</v>
      </c>
      <c r="C45" s="63">
        <f t="shared" si="1"/>
        <v>1</v>
      </c>
      <c r="D45" s="59"/>
      <c r="E45" s="61"/>
      <c r="F45" s="64"/>
      <c r="G45" s="100"/>
      <c r="H45" s="66"/>
    </row>
    <row r="46" spans="1:8" ht="12.75" x14ac:dyDescent="0.2">
      <c r="A46" s="58"/>
      <c r="B46" s="62" t="str">
        <f t="shared" si="0"/>
        <v>ROTS0010-02</v>
      </c>
      <c r="C46" s="63">
        <f t="shared" si="1"/>
        <v>12</v>
      </c>
      <c r="D46" s="59"/>
      <c r="E46" s="61"/>
      <c r="F46" s="64"/>
      <c r="G46" s="100"/>
      <c r="H46" s="66"/>
    </row>
    <row r="47" spans="1:8" ht="12.75" x14ac:dyDescent="0.2">
      <c r="A47" s="58"/>
      <c r="B47" s="62" t="str">
        <f t="shared" si="0"/>
        <v>ROTS0012-01</v>
      </c>
      <c r="C47" s="63">
        <f t="shared" si="1"/>
        <v>10</v>
      </c>
      <c r="D47" s="59"/>
      <c r="E47" s="61"/>
      <c r="F47" s="64"/>
      <c r="G47" s="100"/>
      <c r="H47" s="66"/>
    </row>
    <row r="48" spans="1:8" ht="12.75" x14ac:dyDescent="0.2">
      <c r="A48" s="58"/>
      <c r="B48" s="62" t="str">
        <f t="shared" si="0"/>
        <v>ROTS0012-03</v>
      </c>
      <c r="C48" s="63">
        <f t="shared" si="1"/>
        <v>5</v>
      </c>
      <c r="D48" s="59"/>
      <c r="E48" s="61"/>
      <c r="F48" s="64"/>
      <c r="G48" s="100"/>
      <c r="H48" s="66"/>
    </row>
    <row r="49" spans="1:8" ht="12.75" x14ac:dyDescent="0.2">
      <c r="A49" s="58"/>
      <c r="B49" s="62" t="str">
        <f t="shared" si="0"/>
        <v>ROTS0012-05</v>
      </c>
      <c r="C49" s="63">
        <f t="shared" si="1"/>
        <v>10</v>
      </c>
      <c r="D49" s="59"/>
      <c r="E49" s="61"/>
      <c r="F49" s="64"/>
      <c r="G49" s="100"/>
      <c r="H49" s="66"/>
    </row>
    <row r="50" spans="1:8" ht="12.75" x14ac:dyDescent="0.2">
      <c r="A50" s="58"/>
      <c r="B50" s="62" t="str">
        <f t="shared" si="0"/>
        <v>ROTS0014-02</v>
      </c>
      <c r="C50" s="63">
        <f t="shared" si="1"/>
        <v>14</v>
      </c>
      <c r="D50" s="59"/>
      <c r="E50" s="61"/>
      <c r="F50" s="64"/>
      <c r="G50" s="100"/>
      <c r="H50" s="66"/>
    </row>
    <row r="51" spans="1:8" ht="12.75" x14ac:dyDescent="0.2">
      <c r="A51" s="58"/>
      <c r="B51" s="62" t="str">
        <f t="shared" si="0"/>
        <v>ROTS0016-02</v>
      </c>
      <c r="C51" s="63">
        <f t="shared" si="1"/>
        <v>31</v>
      </c>
      <c r="D51" s="59"/>
      <c r="E51" s="61"/>
      <c r="F51" s="64"/>
      <c r="G51" s="100"/>
      <c r="H51" s="66"/>
    </row>
    <row r="52" spans="1:8" ht="12.75" x14ac:dyDescent="0.2">
      <c r="A52" s="58"/>
      <c r="B52" s="62" t="str">
        <f t="shared" si="0"/>
        <v>ROTS0037-01</v>
      </c>
      <c r="C52" s="63">
        <f t="shared" si="1"/>
        <v>20</v>
      </c>
      <c r="D52" s="59"/>
      <c r="E52" s="61"/>
      <c r="F52" s="64"/>
      <c r="G52" s="100"/>
      <c r="H52" s="66"/>
    </row>
    <row r="53" spans="1:8" ht="12.75" x14ac:dyDescent="0.2">
      <c r="A53" s="58"/>
      <c r="B53" s="62" t="str">
        <f t="shared" si="0"/>
        <v>ROTS0019-01</v>
      </c>
      <c r="C53" s="63">
        <f t="shared" si="1"/>
        <v>5</v>
      </c>
      <c r="D53" s="59"/>
      <c r="E53" s="61"/>
      <c r="F53" s="64"/>
      <c r="G53" s="100"/>
      <c r="H53" s="66"/>
    </row>
    <row r="54" spans="1:8" ht="12.75" x14ac:dyDescent="0.2">
      <c r="A54" s="58"/>
      <c r="B54" s="62" t="str">
        <f t="shared" si="0"/>
        <v>ROTS0038-01</v>
      </c>
      <c r="C54" s="63">
        <f t="shared" si="1"/>
        <v>29</v>
      </c>
      <c r="D54" s="59"/>
      <c r="E54" s="61"/>
      <c r="F54" s="64"/>
      <c r="G54" s="100"/>
      <c r="H54" s="66"/>
    </row>
    <row r="55" spans="1:8" ht="12.75" x14ac:dyDescent="0.2">
      <c r="A55" s="58"/>
      <c r="B55" s="62" t="str">
        <f t="shared" si="0"/>
        <v>ROTS0039-01</v>
      </c>
      <c r="C55" s="63">
        <f t="shared" si="1"/>
        <v>3</v>
      </c>
      <c r="D55" s="59"/>
      <c r="E55" s="61"/>
      <c r="F55" s="64"/>
      <c r="G55" s="100"/>
      <c r="H55" s="66"/>
    </row>
    <row r="56" spans="1:8" ht="12.75" x14ac:dyDescent="0.2">
      <c r="A56" s="58"/>
      <c r="B56" s="62" t="str">
        <f t="shared" si="0"/>
        <v>ROTS0040-02</v>
      </c>
      <c r="C56" s="63">
        <f t="shared" si="1"/>
        <v>10</v>
      </c>
      <c r="D56" s="59"/>
      <c r="E56" s="61"/>
      <c r="F56" s="64"/>
      <c r="G56" s="100"/>
      <c r="H56" s="66"/>
    </row>
    <row r="57" spans="1:8" ht="12.75" x14ac:dyDescent="0.2">
      <c r="A57" s="58"/>
      <c r="B57" s="62" t="str">
        <f t="shared" si="0"/>
        <v>ROTS0041-01</v>
      </c>
      <c r="C57" s="63">
        <f t="shared" si="1"/>
        <v>6</v>
      </c>
      <c r="D57" s="59"/>
      <c r="E57" s="61"/>
      <c r="F57" s="64"/>
      <c r="G57" s="100"/>
      <c r="H57" s="66"/>
    </row>
    <row r="58" spans="1:8" ht="12.75" x14ac:dyDescent="0.2">
      <c r="A58" s="58"/>
      <c r="B58" s="62" t="str">
        <f t="shared" si="0"/>
        <v>ROTS0046-02</v>
      </c>
      <c r="C58" s="63">
        <f t="shared" si="1"/>
        <v>4</v>
      </c>
      <c r="D58" s="59"/>
      <c r="E58" s="61"/>
      <c r="F58" s="64"/>
      <c r="G58" s="100"/>
      <c r="H58" s="66"/>
    </row>
    <row r="59" spans="1:8" ht="12.75" x14ac:dyDescent="0.2">
      <c r="A59" s="58"/>
      <c r="B59" s="62" t="str">
        <f t="shared" si="0"/>
        <v>ROTS0059-01</v>
      </c>
      <c r="C59" s="63">
        <f t="shared" si="1"/>
        <v>2</v>
      </c>
      <c r="D59" s="59"/>
      <c r="E59" s="61"/>
      <c r="F59" s="64"/>
      <c r="G59" s="100"/>
      <c r="H59" s="66"/>
    </row>
    <row r="60" spans="1:8" ht="12.75" x14ac:dyDescent="0.2">
      <c r="A60" s="58"/>
      <c r="B60" s="62" t="str">
        <f t="shared" si="0"/>
        <v>ROTS0065-01</v>
      </c>
      <c r="C60" s="63">
        <f t="shared" si="1"/>
        <v>30</v>
      </c>
      <c r="D60" s="59"/>
      <c r="E60" s="61"/>
      <c r="F60" s="64"/>
      <c r="G60" s="100"/>
      <c r="H60" s="66"/>
    </row>
    <row r="61" spans="1:8" ht="12.75" x14ac:dyDescent="0.2">
      <c r="A61" s="58"/>
      <c r="B61" s="62" t="str">
        <f t="shared" si="0"/>
        <v>ROTS0067-01</v>
      </c>
      <c r="C61" s="63">
        <f t="shared" si="1"/>
        <v>2</v>
      </c>
      <c r="D61" s="59"/>
      <c r="E61" s="61"/>
      <c r="F61" s="64"/>
      <c r="G61" s="100"/>
      <c r="H61" s="66"/>
    </row>
    <row r="62" spans="1:8" ht="12.75" x14ac:dyDescent="0.2">
      <c r="A62" s="58"/>
      <c r="B62" s="62" t="str">
        <f t="shared" si="0"/>
        <v>ROTS0071-02</v>
      </c>
      <c r="C62" s="63">
        <f t="shared" si="1"/>
        <v>3</v>
      </c>
      <c r="D62" s="59"/>
      <c r="E62" s="61"/>
      <c r="F62" s="64"/>
      <c r="G62" s="100"/>
      <c r="H62" s="66"/>
    </row>
    <row r="63" spans="1:8" ht="12.75" x14ac:dyDescent="0.2">
      <c r="A63" s="58"/>
      <c r="B63" s="62" t="str">
        <f t="shared" si="0"/>
        <v>ROTS0079-03</v>
      </c>
      <c r="C63" s="63">
        <f t="shared" si="1"/>
        <v>3</v>
      </c>
      <c r="D63" s="59"/>
      <c r="E63" s="61"/>
      <c r="F63" s="64"/>
      <c r="G63" s="100"/>
      <c r="H63" s="66"/>
    </row>
    <row r="64" spans="1:8" ht="12.75" x14ac:dyDescent="0.2">
      <c r="A64" s="58"/>
      <c r="B64" s="62" t="str">
        <f t="shared" si="0"/>
        <v>ROTS0068-02</v>
      </c>
      <c r="C64" s="63">
        <f t="shared" si="1"/>
        <v>11</v>
      </c>
      <c r="D64" s="59"/>
      <c r="E64" s="61"/>
      <c r="F64" s="64"/>
      <c r="G64" s="100"/>
      <c r="H64" s="66"/>
    </row>
    <row r="65" spans="1:8" ht="12.75" x14ac:dyDescent="0.2">
      <c r="A65" s="58"/>
      <c r="B65" s="62" t="str">
        <f t="shared" si="0"/>
        <v>ROTS0090-01</v>
      </c>
      <c r="C65" s="63">
        <f t="shared" si="1"/>
        <v>3</v>
      </c>
      <c r="D65" s="59"/>
      <c r="E65" s="61"/>
      <c r="F65" s="64"/>
      <c r="G65" s="100"/>
      <c r="H65" s="66"/>
    </row>
    <row r="66" spans="1:8" ht="12.75" x14ac:dyDescent="0.2">
      <c r="A66" s="58"/>
      <c r="B66" s="62" t="str">
        <f t="shared" si="0"/>
        <v>ROTS0091-01</v>
      </c>
      <c r="C66" s="63">
        <f t="shared" si="1"/>
        <v>2</v>
      </c>
      <c r="D66" s="59"/>
      <c r="E66" s="61"/>
      <c r="F66" s="64"/>
      <c r="G66" s="100"/>
      <c r="H66" s="66"/>
    </row>
    <row r="67" spans="1:8" ht="12.75" x14ac:dyDescent="0.2">
      <c r="A67" s="58"/>
      <c r="B67" s="62" t="str">
        <f t="shared" si="0"/>
        <v>ROTS0108-01</v>
      </c>
      <c r="C67" s="63">
        <f t="shared" si="1"/>
        <v>3</v>
      </c>
      <c r="D67" s="59"/>
      <c r="E67" s="61"/>
      <c r="F67" s="64"/>
      <c r="G67" s="100"/>
      <c r="H67" s="66"/>
    </row>
    <row r="68" spans="1:8" ht="12.75" x14ac:dyDescent="0.2">
      <c r="A68" s="58"/>
      <c r="B68" s="62" t="str">
        <f t="shared" si="0"/>
        <v>ROTS0109-01</v>
      </c>
      <c r="C68" s="63">
        <f t="shared" si="1"/>
        <v>3</v>
      </c>
      <c r="D68" s="59"/>
      <c r="E68" s="61"/>
      <c r="F68" s="64"/>
      <c r="G68" s="100"/>
      <c r="H68" s="66"/>
    </row>
    <row r="69" spans="1:8" ht="13.5" thickBot="1" x14ac:dyDescent="0.25">
      <c r="A69" s="58"/>
      <c r="B69" s="163" t="str">
        <f t="shared" si="0"/>
        <v>ROTS0110-01</v>
      </c>
      <c r="C69" s="72">
        <f t="shared" si="1"/>
        <v>3</v>
      </c>
      <c r="D69" s="59"/>
      <c r="E69" s="61"/>
      <c r="F69" s="64"/>
      <c r="G69" s="100"/>
      <c r="H69" s="66"/>
    </row>
    <row r="70" spans="1:8" s="78" customFormat="1" ht="12.75" x14ac:dyDescent="0.2">
      <c r="A70" s="73"/>
      <c r="B70" s="10"/>
      <c r="C70" s="10"/>
      <c r="D70" s="74"/>
      <c r="E70" s="75"/>
      <c r="F70" s="76" t="s">
        <v>37</v>
      </c>
      <c r="G70" s="101"/>
      <c r="H70" s="75"/>
    </row>
    <row r="71" spans="1:8" ht="11.25" customHeight="1" x14ac:dyDescent="0.2">
      <c r="A71" s="201" t="s">
        <v>38</v>
      </c>
      <c r="B71" s="202"/>
      <c r="C71" s="202"/>
      <c r="D71" s="202"/>
      <c r="E71" s="203"/>
      <c r="F71" s="190"/>
      <c r="G71" s="191"/>
      <c r="H71" s="66"/>
    </row>
    <row r="72" spans="1:8" s="81" customFormat="1" ht="28.5" customHeight="1" x14ac:dyDescent="0.2">
      <c r="A72" s="187"/>
      <c r="B72" s="188"/>
      <c r="C72" s="188"/>
      <c r="D72" s="188"/>
      <c r="E72" s="189"/>
      <c r="F72" s="190" t="s">
        <v>39</v>
      </c>
      <c r="G72" s="191"/>
      <c r="H72" s="80" t="s">
        <v>40</v>
      </c>
    </row>
    <row r="73" spans="1:8" s="81" customFormat="1" ht="54" customHeight="1" x14ac:dyDescent="0.2">
      <c r="A73" s="79"/>
      <c r="B73" s="192" t="s">
        <v>41</v>
      </c>
      <c r="C73" s="192"/>
      <c r="D73" s="192"/>
      <c r="E73" s="80"/>
      <c r="F73" s="193" t="s">
        <v>42</v>
      </c>
      <c r="G73" s="194"/>
      <c r="H73" s="80" t="s">
        <v>43</v>
      </c>
    </row>
    <row r="74" spans="1:8" s="81" customFormat="1" ht="13.5" thickBot="1" x14ac:dyDescent="0.25">
      <c r="A74" s="82"/>
      <c r="B74" s="83"/>
      <c r="C74" s="83"/>
      <c r="D74" s="84"/>
      <c r="E74" s="85"/>
      <c r="F74" s="86"/>
      <c r="G74" s="102"/>
      <c r="H74" s="88"/>
    </row>
  </sheetData>
  <mergeCells count="18">
    <mergeCell ref="A72:E72"/>
    <mergeCell ref="F72:G72"/>
    <mergeCell ref="B73:D73"/>
    <mergeCell ref="F73:G73"/>
    <mergeCell ref="B39:B40"/>
    <mergeCell ref="C39:C40"/>
    <mergeCell ref="F39:F40"/>
    <mergeCell ref="G39:G40"/>
    <mergeCell ref="H39:H40"/>
    <mergeCell ref="A71:E71"/>
    <mergeCell ref="F71:G71"/>
    <mergeCell ref="B38:C38"/>
    <mergeCell ref="F38:H38"/>
    <mergeCell ref="A2:H2"/>
    <mergeCell ref="A3:E3"/>
    <mergeCell ref="B4:C4"/>
    <mergeCell ref="A5:F5"/>
    <mergeCell ref="G5:H5"/>
  </mergeCells>
  <pageMargins left="0.25" right="0.25" top="0.75" bottom="0.75" header="0.3" footer="0.3"/>
  <pageSetup scale="8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A4B8-0706-4E63-A7CA-DD246441E49E}">
  <sheetPr>
    <pageSetUpPr fitToPage="1"/>
  </sheetPr>
  <dimension ref="A1:H43"/>
  <sheetViews>
    <sheetView zoomScale="85" zoomScaleNormal="85" workbookViewId="0">
      <selection activeCell="K9" sqref="K9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0.7109375" style="89" customWidth="1"/>
    <col min="4" max="4" width="25" style="90" customWidth="1"/>
    <col min="5" max="5" width="9.85546875" style="91" customWidth="1"/>
    <col min="6" max="6" width="15.42578125" style="91" customWidth="1"/>
    <col min="7" max="7" width="10.42578125" style="103" customWidth="1"/>
    <col min="8" max="8" width="13.42578125" style="89" customWidth="1"/>
    <col min="9" max="9" width="2.42578125" style="7" customWidth="1"/>
    <col min="10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96"/>
      <c r="H1" s="6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97" t="s">
        <v>3</v>
      </c>
      <c r="H3" s="12" t="s">
        <v>227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97" t="s">
        <v>6</v>
      </c>
      <c r="H4" s="14">
        <v>45777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8" t="s">
        <v>8</v>
      </c>
      <c r="H5" s="219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98" t="s">
        <v>15</v>
      </c>
      <c r="H6" s="16" t="s">
        <v>16</v>
      </c>
    </row>
    <row r="7" spans="1:8" ht="72" customHeight="1" x14ac:dyDescent="0.2">
      <c r="A7" s="23" t="s">
        <v>202</v>
      </c>
      <c r="B7" s="24" t="s">
        <v>203</v>
      </c>
      <c r="C7" s="19" t="s">
        <v>22</v>
      </c>
      <c r="D7" s="20" t="s">
        <v>201</v>
      </c>
      <c r="E7" s="21" t="s">
        <v>54</v>
      </c>
      <c r="F7" s="146">
        <v>12</v>
      </c>
      <c r="G7" s="164">
        <v>350.26</v>
      </c>
      <c r="H7" s="29">
        <f>F7*G7</f>
        <v>4203.12</v>
      </c>
    </row>
    <row r="8" spans="1:8" ht="36" customHeight="1" x14ac:dyDescent="0.2">
      <c r="A8" s="23" t="s">
        <v>204</v>
      </c>
      <c r="B8" s="24" t="s">
        <v>205</v>
      </c>
      <c r="C8" s="31" t="s">
        <v>68</v>
      </c>
      <c r="D8" s="25" t="s">
        <v>69</v>
      </c>
      <c r="E8" s="32" t="s">
        <v>27</v>
      </c>
      <c r="F8" s="39">
        <v>12</v>
      </c>
      <c r="G8" s="164">
        <v>660</v>
      </c>
      <c r="H8" s="29">
        <f t="shared" ref="H8:H19" si="0">F8*G8</f>
        <v>7920</v>
      </c>
    </row>
    <row r="9" spans="1:8" ht="34.5" customHeight="1" x14ac:dyDescent="0.2">
      <c r="A9" s="93" t="s">
        <v>206</v>
      </c>
      <c r="B9" s="24" t="s">
        <v>64</v>
      </c>
      <c r="C9" s="31" t="s">
        <v>77</v>
      </c>
      <c r="D9" s="25" t="s">
        <v>194</v>
      </c>
      <c r="E9" s="21" t="s">
        <v>21</v>
      </c>
      <c r="F9" s="26">
        <v>5</v>
      </c>
      <c r="G9" s="164">
        <v>122</v>
      </c>
      <c r="H9" s="29">
        <f t="shared" si="0"/>
        <v>610</v>
      </c>
    </row>
    <row r="10" spans="1:8" ht="30.75" customHeight="1" x14ac:dyDescent="0.2">
      <c r="A10" s="93" t="s">
        <v>206</v>
      </c>
      <c r="B10" s="24" t="s">
        <v>207</v>
      </c>
      <c r="C10" s="31" t="s">
        <v>50</v>
      </c>
      <c r="D10" s="25" t="s">
        <v>51</v>
      </c>
      <c r="E10" s="21" t="s">
        <v>21</v>
      </c>
      <c r="F10" s="26">
        <v>9</v>
      </c>
      <c r="G10" s="164">
        <v>139.09</v>
      </c>
      <c r="H10" s="29">
        <f t="shared" si="0"/>
        <v>1251.81</v>
      </c>
    </row>
    <row r="11" spans="1:8" ht="56.25" customHeight="1" x14ac:dyDescent="0.2">
      <c r="A11" s="93" t="s">
        <v>209</v>
      </c>
      <c r="B11" s="24" t="s">
        <v>210</v>
      </c>
      <c r="C11" s="31" t="s">
        <v>52</v>
      </c>
      <c r="D11" s="25" t="s">
        <v>208</v>
      </c>
      <c r="E11" s="21" t="s">
        <v>18</v>
      </c>
      <c r="F11" s="26">
        <v>7</v>
      </c>
      <c r="G11" s="164">
        <v>90</v>
      </c>
      <c r="H11" s="29">
        <f t="shared" si="0"/>
        <v>630</v>
      </c>
    </row>
    <row r="12" spans="1:8" ht="134.25" customHeight="1" x14ac:dyDescent="0.2">
      <c r="A12" s="93" t="s">
        <v>225</v>
      </c>
      <c r="B12" s="24" t="s">
        <v>226</v>
      </c>
      <c r="C12" s="31" t="s">
        <v>25</v>
      </c>
      <c r="D12" s="25" t="s">
        <v>46</v>
      </c>
      <c r="E12" s="32" t="s">
        <v>21</v>
      </c>
      <c r="F12" s="26">
        <v>24</v>
      </c>
      <c r="G12" s="164">
        <v>140.62</v>
      </c>
      <c r="H12" s="29">
        <f t="shared" si="0"/>
        <v>3374.88</v>
      </c>
    </row>
    <row r="13" spans="1:8" ht="30" customHeight="1" x14ac:dyDescent="0.2">
      <c r="A13" s="93" t="s">
        <v>211</v>
      </c>
      <c r="B13" s="24" t="s">
        <v>56</v>
      </c>
      <c r="C13" s="31" t="s">
        <v>26</v>
      </c>
      <c r="D13" s="25" t="s">
        <v>95</v>
      </c>
      <c r="E13" s="32" t="s">
        <v>27</v>
      </c>
      <c r="F13" s="26">
        <v>1</v>
      </c>
      <c r="G13" s="164">
        <v>141.38999999999999</v>
      </c>
      <c r="H13" s="29">
        <f t="shared" si="0"/>
        <v>141.38999999999999</v>
      </c>
    </row>
    <row r="14" spans="1:8" ht="35.25" customHeight="1" x14ac:dyDescent="0.2">
      <c r="A14" s="93" t="s">
        <v>213</v>
      </c>
      <c r="B14" s="24" t="s">
        <v>214</v>
      </c>
      <c r="C14" s="31" t="s">
        <v>150</v>
      </c>
      <c r="D14" s="25" t="s">
        <v>212</v>
      </c>
      <c r="E14" s="32" t="s">
        <v>18</v>
      </c>
      <c r="F14" s="26">
        <v>8</v>
      </c>
      <c r="G14" s="164">
        <v>130</v>
      </c>
      <c r="H14" s="29">
        <f t="shared" si="0"/>
        <v>1040</v>
      </c>
    </row>
    <row r="15" spans="1:8" ht="54" customHeight="1" x14ac:dyDescent="0.2">
      <c r="A15" s="45" t="s">
        <v>215</v>
      </c>
      <c r="B15" s="35" t="s">
        <v>216</v>
      </c>
      <c r="C15" s="31" t="s">
        <v>28</v>
      </c>
      <c r="D15" s="25" t="s">
        <v>217</v>
      </c>
      <c r="E15" s="32" t="s">
        <v>27</v>
      </c>
      <c r="F15" s="26">
        <v>8</v>
      </c>
      <c r="G15" s="164">
        <v>103</v>
      </c>
      <c r="H15" s="29">
        <f t="shared" si="0"/>
        <v>824</v>
      </c>
    </row>
    <row r="16" spans="1:8" ht="38.25" customHeight="1" x14ac:dyDescent="0.2">
      <c r="A16" s="93" t="s">
        <v>219</v>
      </c>
      <c r="B16" s="24" t="s">
        <v>220</v>
      </c>
      <c r="C16" s="31" t="s">
        <v>103</v>
      </c>
      <c r="D16" s="25" t="s">
        <v>104</v>
      </c>
      <c r="E16" s="32" t="s">
        <v>18</v>
      </c>
      <c r="F16" s="26">
        <v>4</v>
      </c>
      <c r="G16" s="164">
        <v>68</v>
      </c>
      <c r="H16" s="29">
        <f t="shared" si="0"/>
        <v>272</v>
      </c>
    </row>
    <row r="17" spans="1:8" ht="33.75" customHeight="1" x14ac:dyDescent="0.2">
      <c r="A17" s="43" t="s">
        <v>218</v>
      </c>
      <c r="B17" s="35" t="s">
        <v>221</v>
      </c>
      <c r="C17" s="31" t="s">
        <v>197</v>
      </c>
      <c r="D17" s="25" t="s">
        <v>198</v>
      </c>
      <c r="E17" s="32" t="s">
        <v>18</v>
      </c>
      <c r="F17" s="26">
        <v>1</v>
      </c>
      <c r="G17" s="164">
        <v>35</v>
      </c>
      <c r="H17" s="29">
        <f t="shared" si="0"/>
        <v>35</v>
      </c>
    </row>
    <row r="18" spans="1:8" ht="36" customHeight="1" x14ac:dyDescent="0.2">
      <c r="A18" s="45" t="s">
        <v>206</v>
      </c>
      <c r="B18" s="35" t="s">
        <v>140</v>
      </c>
      <c r="C18" s="31" t="s">
        <v>109</v>
      </c>
      <c r="D18" s="25" t="s">
        <v>165</v>
      </c>
      <c r="E18" s="32" t="s">
        <v>18</v>
      </c>
      <c r="F18" s="26">
        <v>1</v>
      </c>
      <c r="G18" s="164">
        <v>250</v>
      </c>
      <c r="H18" s="29">
        <f t="shared" si="0"/>
        <v>250</v>
      </c>
    </row>
    <row r="19" spans="1:8" ht="44.25" customHeight="1" x14ac:dyDescent="0.2">
      <c r="A19" s="45" t="s">
        <v>224</v>
      </c>
      <c r="B19" s="35" t="s">
        <v>223</v>
      </c>
      <c r="C19" s="139" t="s">
        <v>115</v>
      </c>
      <c r="D19" s="25" t="s">
        <v>222</v>
      </c>
      <c r="E19" s="32" t="s">
        <v>27</v>
      </c>
      <c r="F19" s="26">
        <v>11</v>
      </c>
      <c r="G19" s="164">
        <v>520</v>
      </c>
      <c r="H19" s="29">
        <f t="shared" si="0"/>
        <v>5720</v>
      </c>
    </row>
    <row r="20" spans="1:8" ht="11.25" customHeight="1" x14ac:dyDescent="0.2">
      <c r="A20" s="45"/>
      <c r="B20" s="35"/>
      <c r="C20" s="139"/>
      <c r="D20" s="25"/>
      <c r="E20" s="32"/>
      <c r="F20" s="26"/>
      <c r="G20" s="99"/>
      <c r="H20" s="140"/>
    </row>
    <row r="21" spans="1:8" ht="19.5" customHeight="1" thickBot="1" x14ac:dyDescent="0.25">
      <c r="A21" s="51"/>
      <c r="B21" s="147"/>
      <c r="C21" s="148"/>
      <c r="D21" s="54"/>
      <c r="E21" s="137"/>
      <c r="F21" s="137"/>
      <c r="G21" s="149" t="s">
        <v>61</v>
      </c>
      <c r="H21" s="150">
        <f>SUM(H7:H19)</f>
        <v>26272.199999999997</v>
      </c>
    </row>
    <row r="22" spans="1:8" ht="13.5" thickBot="1" x14ac:dyDescent="0.25">
      <c r="A22" s="58"/>
      <c r="B22" s="213" t="s">
        <v>33</v>
      </c>
      <c r="C22" s="214"/>
      <c r="D22" s="59"/>
      <c r="E22" s="60"/>
      <c r="F22" s="213" t="s">
        <v>33</v>
      </c>
      <c r="G22" s="215"/>
      <c r="H22" s="214"/>
    </row>
    <row r="23" spans="1:8" ht="12.75" x14ac:dyDescent="0.2">
      <c r="A23" s="58"/>
      <c r="B23" s="195" t="s">
        <v>11</v>
      </c>
      <c r="C23" s="195" t="s">
        <v>34</v>
      </c>
      <c r="D23" s="59"/>
      <c r="E23" s="61"/>
      <c r="F23" s="195" t="s">
        <v>15</v>
      </c>
      <c r="G23" s="220" t="s">
        <v>35</v>
      </c>
      <c r="H23" s="216" t="s">
        <v>36</v>
      </c>
    </row>
    <row r="24" spans="1:8" ht="13.5" thickBot="1" x14ac:dyDescent="0.25">
      <c r="A24" s="58"/>
      <c r="B24" s="196"/>
      <c r="C24" s="196"/>
      <c r="D24" s="59"/>
      <c r="E24" s="61"/>
      <c r="F24" s="196"/>
      <c r="G24" s="221"/>
      <c r="H24" s="217"/>
    </row>
    <row r="25" spans="1:8" ht="12.75" x14ac:dyDescent="0.2">
      <c r="A25" s="58"/>
      <c r="B25" s="124" t="str">
        <f t="shared" ref="B25:B37" si="1">C7</f>
        <v>ROTS0003-01</v>
      </c>
      <c r="C25" s="125">
        <f t="shared" ref="C25:C37" si="2">F7</f>
        <v>12</v>
      </c>
      <c r="D25" s="59"/>
      <c r="E25" s="61"/>
      <c r="F25" s="64"/>
      <c r="G25" s="100"/>
      <c r="H25" s="66"/>
    </row>
    <row r="26" spans="1:8" ht="12.75" x14ac:dyDescent="0.2">
      <c r="A26" s="58"/>
      <c r="B26" s="62" t="str">
        <f t="shared" si="1"/>
        <v>ROTS0007-01</v>
      </c>
      <c r="C26" s="63">
        <f t="shared" si="2"/>
        <v>12</v>
      </c>
      <c r="D26" s="59"/>
      <c r="E26" s="61"/>
      <c r="F26" s="64"/>
      <c r="G26" s="100"/>
      <c r="H26" s="66"/>
    </row>
    <row r="27" spans="1:8" ht="12.75" x14ac:dyDescent="0.2">
      <c r="A27" s="58"/>
      <c r="B27" s="62" t="str">
        <f t="shared" si="1"/>
        <v>ROTS0010-02</v>
      </c>
      <c r="C27" s="63">
        <f t="shared" si="2"/>
        <v>5</v>
      </c>
      <c r="D27" s="59"/>
      <c r="E27" s="61"/>
      <c r="F27" s="64"/>
      <c r="G27" s="100"/>
      <c r="H27" s="66"/>
    </row>
    <row r="28" spans="1:8" ht="12.75" x14ac:dyDescent="0.2">
      <c r="A28" s="58"/>
      <c r="B28" s="62" t="str">
        <f t="shared" si="1"/>
        <v>ROTS0012-05</v>
      </c>
      <c r="C28" s="63">
        <f t="shared" si="2"/>
        <v>9</v>
      </c>
      <c r="D28" s="59"/>
      <c r="E28" s="61"/>
      <c r="F28" s="64"/>
      <c r="G28" s="100"/>
      <c r="H28" s="66"/>
    </row>
    <row r="29" spans="1:8" ht="12.75" x14ac:dyDescent="0.2">
      <c r="A29" s="58"/>
      <c r="B29" s="62" t="str">
        <f t="shared" si="1"/>
        <v>ROTS0014-02</v>
      </c>
      <c r="C29" s="63">
        <f t="shared" si="2"/>
        <v>7</v>
      </c>
      <c r="D29" s="59"/>
      <c r="E29" s="61"/>
      <c r="F29" s="64"/>
      <c r="G29" s="100"/>
      <c r="H29" s="66"/>
    </row>
    <row r="30" spans="1:8" ht="12.75" x14ac:dyDescent="0.2">
      <c r="A30" s="58"/>
      <c r="B30" s="62" t="str">
        <f t="shared" si="1"/>
        <v>ROTS0016-02</v>
      </c>
      <c r="C30" s="63">
        <f t="shared" si="2"/>
        <v>24</v>
      </c>
      <c r="D30" s="59"/>
      <c r="E30" s="61"/>
      <c r="F30" s="64"/>
      <c r="G30" s="100"/>
      <c r="H30" s="66"/>
    </row>
    <row r="31" spans="1:8" ht="12.75" x14ac:dyDescent="0.2">
      <c r="A31" s="58"/>
      <c r="B31" s="62" t="str">
        <f t="shared" si="1"/>
        <v>ROTS0019-01</v>
      </c>
      <c r="C31" s="63">
        <f t="shared" si="2"/>
        <v>1</v>
      </c>
      <c r="D31" s="59"/>
      <c r="E31" s="61"/>
      <c r="F31" s="64"/>
      <c r="G31" s="100"/>
      <c r="H31" s="66"/>
    </row>
    <row r="32" spans="1:8" ht="12.75" x14ac:dyDescent="0.2">
      <c r="A32" s="58"/>
      <c r="B32" s="62" t="str">
        <f t="shared" si="1"/>
        <v>ROTS0037-01</v>
      </c>
      <c r="C32" s="63">
        <f t="shared" si="2"/>
        <v>8</v>
      </c>
      <c r="D32" s="59"/>
      <c r="E32" s="61"/>
      <c r="F32" s="64"/>
      <c r="G32" s="100"/>
      <c r="H32" s="66"/>
    </row>
    <row r="33" spans="1:8" ht="12.75" x14ac:dyDescent="0.2">
      <c r="A33" s="58"/>
      <c r="B33" s="62" t="str">
        <f t="shared" si="1"/>
        <v>ROTS0038-01</v>
      </c>
      <c r="C33" s="63">
        <f t="shared" si="2"/>
        <v>8</v>
      </c>
      <c r="D33" s="59"/>
      <c r="E33" s="61"/>
      <c r="F33" s="64"/>
      <c r="G33" s="100"/>
      <c r="H33" s="66"/>
    </row>
    <row r="34" spans="1:8" ht="12.75" x14ac:dyDescent="0.2">
      <c r="A34" s="58"/>
      <c r="B34" s="62" t="str">
        <f t="shared" si="1"/>
        <v>ROTS0040-02</v>
      </c>
      <c r="C34" s="63">
        <f t="shared" si="2"/>
        <v>4</v>
      </c>
      <c r="D34" s="59"/>
      <c r="E34" s="61"/>
      <c r="F34" s="64"/>
      <c r="G34" s="100"/>
      <c r="H34" s="66"/>
    </row>
    <row r="35" spans="1:8" ht="12.75" x14ac:dyDescent="0.2">
      <c r="A35" s="58"/>
      <c r="B35" s="62" t="str">
        <f t="shared" si="1"/>
        <v>ROTS0058-01</v>
      </c>
      <c r="C35" s="63">
        <f t="shared" si="2"/>
        <v>1</v>
      </c>
      <c r="D35" s="59"/>
      <c r="E35" s="61"/>
      <c r="F35" s="64"/>
      <c r="G35" s="100"/>
      <c r="H35" s="66"/>
    </row>
    <row r="36" spans="1:8" ht="12.75" x14ac:dyDescent="0.2">
      <c r="A36" s="58"/>
      <c r="B36" s="62" t="str">
        <f t="shared" si="1"/>
        <v>ROTS0059-01</v>
      </c>
      <c r="C36" s="63">
        <f t="shared" si="2"/>
        <v>1</v>
      </c>
      <c r="D36" s="59"/>
      <c r="E36" s="61"/>
      <c r="F36" s="64"/>
      <c r="G36" s="100"/>
      <c r="H36" s="66"/>
    </row>
    <row r="37" spans="1:8" ht="12.75" x14ac:dyDescent="0.2">
      <c r="A37" s="58"/>
      <c r="B37" s="62" t="str">
        <f t="shared" si="1"/>
        <v>ROTS0068-02</v>
      </c>
      <c r="C37" s="63">
        <f t="shared" si="2"/>
        <v>11</v>
      </c>
      <c r="D37" s="59"/>
      <c r="E37" s="61"/>
      <c r="F37" s="64"/>
      <c r="G37" s="100"/>
      <c r="H37" s="66"/>
    </row>
    <row r="38" spans="1:8" ht="13.5" thickBot="1" x14ac:dyDescent="0.25">
      <c r="A38" s="58"/>
      <c r="B38" s="163">
        <f>C20</f>
        <v>0</v>
      </c>
      <c r="C38" s="72">
        <f>F20</f>
        <v>0</v>
      </c>
      <c r="D38" s="59"/>
      <c r="E38" s="61"/>
      <c r="F38" s="64"/>
      <c r="G38" s="100"/>
      <c r="H38" s="66"/>
    </row>
    <row r="39" spans="1:8" s="78" customFormat="1" ht="12.75" x14ac:dyDescent="0.2">
      <c r="A39" s="73"/>
      <c r="B39" s="10"/>
      <c r="C39" s="10"/>
      <c r="D39" s="74"/>
      <c r="E39" s="75"/>
      <c r="F39" s="76" t="s">
        <v>37</v>
      </c>
      <c r="G39" s="101"/>
      <c r="H39" s="75"/>
    </row>
    <row r="40" spans="1:8" ht="11.25" customHeight="1" x14ac:dyDescent="0.2">
      <c r="A40" s="201" t="s">
        <v>38</v>
      </c>
      <c r="B40" s="202"/>
      <c r="C40" s="202"/>
      <c r="D40" s="202"/>
      <c r="E40" s="203"/>
      <c r="F40" s="190"/>
      <c r="G40" s="191"/>
      <c r="H40" s="66"/>
    </row>
    <row r="41" spans="1:8" s="81" customFormat="1" ht="28.5" customHeight="1" x14ac:dyDescent="0.2">
      <c r="A41" s="187"/>
      <c r="B41" s="188"/>
      <c r="C41" s="188"/>
      <c r="D41" s="188"/>
      <c r="E41" s="189"/>
      <c r="F41" s="190" t="s">
        <v>39</v>
      </c>
      <c r="G41" s="191"/>
      <c r="H41" s="80" t="s">
        <v>40</v>
      </c>
    </row>
    <row r="42" spans="1:8" s="81" customFormat="1" ht="54" customHeight="1" x14ac:dyDescent="0.2">
      <c r="A42" s="79"/>
      <c r="B42" s="192" t="s">
        <v>41</v>
      </c>
      <c r="C42" s="192"/>
      <c r="D42" s="192"/>
      <c r="E42" s="80"/>
      <c r="F42" s="193" t="s">
        <v>42</v>
      </c>
      <c r="G42" s="194"/>
      <c r="H42" s="80" t="s">
        <v>43</v>
      </c>
    </row>
    <row r="43" spans="1:8" s="81" customFormat="1" ht="13.5" thickBot="1" x14ac:dyDescent="0.25">
      <c r="A43" s="82"/>
      <c r="B43" s="83"/>
      <c r="C43" s="83"/>
      <c r="D43" s="84"/>
      <c r="E43" s="85"/>
      <c r="F43" s="86"/>
      <c r="G43" s="102"/>
      <c r="H43" s="88"/>
    </row>
  </sheetData>
  <mergeCells count="18">
    <mergeCell ref="H23:H24"/>
    <mergeCell ref="A40:E40"/>
    <mergeCell ref="F40:G40"/>
    <mergeCell ref="A2:H2"/>
    <mergeCell ref="A3:E3"/>
    <mergeCell ref="B4:C4"/>
    <mergeCell ref="A5:F5"/>
    <mergeCell ref="G5:H5"/>
    <mergeCell ref="B22:C22"/>
    <mergeCell ref="F22:H22"/>
    <mergeCell ref="A41:E41"/>
    <mergeCell ref="F41:G41"/>
    <mergeCell ref="B42:D42"/>
    <mergeCell ref="F42:G42"/>
    <mergeCell ref="B23:B24"/>
    <mergeCell ref="C23:C24"/>
    <mergeCell ref="F23:F24"/>
    <mergeCell ref="G23:G24"/>
  </mergeCells>
  <pageMargins left="0.25" right="0.25" top="0.75" bottom="0.75" header="0.3" footer="0.3"/>
  <pageSetup paperSize="5" scale="8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094F-B162-4CFF-825B-17233DC6FEEC}">
  <sheetPr>
    <pageSetUpPr fitToPage="1"/>
  </sheetPr>
  <dimension ref="A1:H70"/>
  <sheetViews>
    <sheetView view="pageBreakPreview" topLeftCell="A19" zoomScale="60" zoomScaleNormal="85" workbookViewId="0">
      <selection activeCell="Y23" sqref="Y23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3.2851562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5.28515625" style="122" customWidth="1"/>
    <col min="9" max="9" width="2.42578125" style="7" customWidth="1"/>
    <col min="10" max="11" width="9.140625" style="7" bestFit="1" customWidth="1"/>
    <col min="12" max="12" width="10.28515625" style="7" bestFit="1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8" s="8" customFormat="1" ht="12" customHeight="1" thickBot="1" x14ac:dyDescent="0.25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22" t="s">
        <v>2</v>
      </c>
      <c r="B3" s="223"/>
      <c r="C3" s="223"/>
      <c r="D3" s="223"/>
      <c r="E3" s="223"/>
      <c r="F3" s="77"/>
      <c r="G3" s="165" t="s">
        <v>3</v>
      </c>
      <c r="H3" s="166" t="s">
        <v>231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>
        <v>45838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8" ht="123" customHeight="1" x14ac:dyDescent="0.2">
      <c r="A7" s="172" t="s">
        <v>233</v>
      </c>
      <c r="B7" s="173" t="s">
        <v>234</v>
      </c>
      <c r="C7" s="129" t="s">
        <v>288</v>
      </c>
      <c r="D7" s="130" t="s">
        <v>232</v>
      </c>
      <c r="E7" s="131" t="s">
        <v>19</v>
      </c>
      <c r="F7" s="174">
        <v>202</v>
      </c>
      <c r="G7" s="175">
        <v>55.62</v>
      </c>
      <c r="H7" s="176">
        <f>F7*G7</f>
        <v>11235.24</v>
      </c>
    </row>
    <row r="8" spans="1:8" ht="82.5" customHeight="1" x14ac:dyDescent="0.2">
      <c r="A8" s="171" t="s">
        <v>235</v>
      </c>
      <c r="B8" s="159" t="s">
        <v>236</v>
      </c>
      <c r="C8" s="19" t="s">
        <v>68</v>
      </c>
      <c r="D8" s="20" t="s">
        <v>133</v>
      </c>
      <c r="E8" s="21" t="s">
        <v>27</v>
      </c>
      <c r="F8" s="28">
        <v>19</v>
      </c>
      <c r="G8" s="111">
        <v>660</v>
      </c>
      <c r="H8" s="144">
        <f>G8*F8</f>
        <v>12540</v>
      </c>
    </row>
    <row r="9" spans="1:8" ht="32.25" customHeight="1" x14ac:dyDescent="0.2">
      <c r="A9" s="40" t="s">
        <v>237</v>
      </c>
      <c r="B9" s="47" t="s">
        <v>238</v>
      </c>
      <c r="C9" s="19" t="s">
        <v>24</v>
      </c>
      <c r="D9" s="20" t="s">
        <v>136</v>
      </c>
      <c r="E9" s="21" t="s">
        <v>54</v>
      </c>
      <c r="F9" s="28">
        <v>4</v>
      </c>
      <c r="G9" s="111">
        <v>235</v>
      </c>
      <c r="H9" s="144">
        <f t="shared" ref="H9:H33" si="0">G9*F9</f>
        <v>940</v>
      </c>
    </row>
    <row r="10" spans="1:8" ht="29.25" customHeight="1" x14ac:dyDescent="0.2">
      <c r="A10" s="38" t="s">
        <v>239</v>
      </c>
      <c r="B10" s="47" t="s">
        <v>140</v>
      </c>
      <c r="C10" s="31" t="s">
        <v>138</v>
      </c>
      <c r="D10" s="25" t="s">
        <v>139</v>
      </c>
      <c r="E10" s="32" t="s">
        <v>54</v>
      </c>
      <c r="F10" s="28">
        <v>1</v>
      </c>
      <c r="G10" s="111">
        <v>295</v>
      </c>
      <c r="H10" s="144">
        <f t="shared" si="0"/>
        <v>295</v>
      </c>
    </row>
    <row r="11" spans="1:8" ht="24" customHeight="1" x14ac:dyDescent="0.2">
      <c r="A11" s="38" t="s">
        <v>239</v>
      </c>
      <c r="B11" s="47" t="s">
        <v>140</v>
      </c>
      <c r="C11" s="31" t="s">
        <v>74</v>
      </c>
      <c r="D11" s="25" t="s">
        <v>228</v>
      </c>
      <c r="E11" s="21" t="s">
        <v>54</v>
      </c>
      <c r="F11" s="28">
        <v>1</v>
      </c>
      <c r="G11" s="111">
        <v>410</v>
      </c>
      <c r="H11" s="144">
        <f t="shared" si="0"/>
        <v>410</v>
      </c>
    </row>
    <row r="12" spans="1:8" ht="32.25" customHeight="1" x14ac:dyDescent="0.2">
      <c r="A12" s="177" t="s">
        <v>241</v>
      </c>
      <c r="B12" s="47" t="s">
        <v>242</v>
      </c>
      <c r="C12" s="31" t="s">
        <v>77</v>
      </c>
      <c r="D12" s="25" t="s">
        <v>240</v>
      </c>
      <c r="E12" s="32" t="s">
        <v>21</v>
      </c>
      <c r="F12" s="28">
        <v>4</v>
      </c>
      <c r="G12" s="111">
        <v>122</v>
      </c>
      <c r="H12" s="144">
        <f t="shared" si="0"/>
        <v>488</v>
      </c>
    </row>
    <row r="13" spans="1:8" ht="49.5" customHeight="1" x14ac:dyDescent="0.2">
      <c r="A13" s="40" t="s">
        <v>243</v>
      </c>
      <c r="B13" s="47" t="s">
        <v>244</v>
      </c>
      <c r="C13" s="31" t="s">
        <v>80</v>
      </c>
      <c r="D13" s="25" t="s">
        <v>144</v>
      </c>
      <c r="E13" s="39" t="s">
        <v>20</v>
      </c>
      <c r="F13" s="28">
        <v>25</v>
      </c>
      <c r="G13" s="111">
        <v>25</v>
      </c>
      <c r="H13" s="144">
        <f t="shared" si="0"/>
        <v>625</v>
      </c>
    </row>
    <row r="14" spans="1:8" ht="31.5" customHeight="1" x14ac:dyDescent="0.2">
      <c r="A14" s="40" t="s">
        <v>245</v>
      </c>
      <c r="B14" s="24" t="s">
        <v>246</v>
      </c>
      <c r="C14" s="31" t="s">
        <v>84</v>
      </c>
      <c r="D14" s="25" t="s">
        <v>229</v>
      </c>
      <c r="E14" s="21" t="s">
        <v>20</v>
      </c>
      <c r="F14" s="39">
        <v>2</v>
      </c>
      <c r="G14" s="143">
        <v>90</v>
      </c>
      <c r="H14" s="144">
        <f t="shared" si="0"/>
        <v>180</v>
      </c>
    </row>
    <row r="15" spans="1:8" ht="52.5" customHeight="1" x14ac:dyDescent="0.2">
      <c r="A15" s="40" t="s">
        <v>248</v>
      </c>
      <c r="B15" s="47" t="s">
        <v>247</v>
      </c>
      <c r="C15" s="31" t="s">
        <v>145</v>
      </c>
      <c r="D15" s="25" t="s">
        <v>195</v>
      </c>
      <c r="E15" s="32" t="s">
        <v>20</v>
      </c>
      <c r="F15" s="28">
        <v>22</v>
      </c>
      <c r="G15" s="111">
        <v>70</v>
      </c>
      <c r="H15" s="144">
        <f t="shared" si="0"/>
        <v>1540</v>
      </c>
    </row>
    <row r="16" spans="1:8" ht="55.5" customHeight="1" x14ac:dyDescent="0.2">
      <c r="A16" s="40" t="s">
        <v>249</v>
      </c>
      <c r="B16" s="47" t="s">
        <v>250</v>
      </c>
      <c r="C16" s="31" t="s">
        <v>50</v>
      </c>
      <c r="D16" s="25" t="s">
        <v>51</v>
      </c>
      <c r="E16" s="21" t="s">
        <v>20</v>
      </c>
      <c r="F16" s="28">
        <v>28</v>
      </c>
      <c r="G16" s="111">
        <v>139.09</v>
      </c>
      <c r="H16" s="144">
        <f t="shared" si="0"/>
        <v>3894.52</v>
      </c>
    </row>
    <row r="17" spans="1:8" ht="108" customHeight="1" x14ac:dyDescent="0.2">
      <c r="A17" s="171" t="s">
        <v>251</v>
      </c>
      <c r="B17" s="159" t="s">
        <v>252</v>
      </c>
      <c r="C17" s="31" t="s">
        <v>52</v>
      </c>
      <c r="D17" s="25" t="s">
        <v>196</v>
      </c>
      <c r="E17" s="32" t="s">
        <v>18</v>
      </c>
      <c r="F17" s="28">
        <v>29</v>
      </c>
      <c r="G17" s="111">
        <v>90</v>
      </c>
      <c r="H17" s="144">
        <f t="shared" si="0"/>
        <v>2610</v>
      </c>
    </row>
    <row r="18" spans="1:8" ht="156" customHeight="1" x14ac:dyDescent="0.2">
      <c r="A18" s="40" t="s">
        <v>254</v>
      </c>
      <c r="B18" s="47" t="s">
        <v>253</v>
      </c>
      <c r="C18" s="31" t="s">
        <v>25</v>
      </c>
      <c r="D18" s="25" t="s">
        <v>230</v>
      </c>
      <c r="E18" s="39" t="s">
        <v>21</v>
      </c>
      <c r="F18" s="28">
        <v>66</v>
      </c>
      <c r="G18" s="111">
        <v>101.24</v>
      </c>
      <c r="H18" s="144">
        <f t="shared" si="0"/>
        <v>6681.8399999999992</v>
      </c>
    </row>
    <row r="19" spans="1:8" ht="34.5" customHeight="1" x14ac:dyDescent="0.2">
      <c r="A19" s="40" t="s">
        <v>255</v>
      </c>
      <c r="B19" s="24" t="s">
        <v>256</v>
      </c>
      <c r="C19" s="31" t="s">
        <v>47</v>
      </c>
      <c r="D19" s="25" t="s">
        <v>92</v>
      </c>
      <c r="E19" s="21" t="s">
        <v>18</v>
      </c>
      <c r="F19" s="39">
        <v>4</v>
      </c>
      <c r="G19" s="143">
        <v>43.02</v>
      </c>
      <c r="H19" s="144">
        <f t="shared" si="0"/>
        <v>172.08</v>
      </c>
    </row>
    <row r="20" spans="1:8" ht="77.25" customHeight="1" x14ac:dyDescent="0.2">
      <c r="A20" s="40" t="s">
        <v>257</v>
      </c>
      <c r="B20" s="47" t="s">
        <v>258</v>
      </c>
      <c r="C20" s="31" t="s">
        <v>26</v>
      </c>
      <c r="D20" s="25" t="s">
        <v>95</v>
      </c>
      <c r="E20" s="32" t="s">
        <v>27</v>
      </c>
      <c r="F20" s="39">
        <v>14</v>
      </c>
      <c r="G20" s="111">
        <v>141.38999999999999</v>
      </c>
      <c r="H20" s="144">
        <f t="shared" si="0"/>
        <v>1979.4599999999998</v>
      </c>
    </row>
    <row r="21" spans="1:8" ht="59.25" customHeight="1" x14ac:dyDescent="0.2">
      <c r="A21" s="158" t="s">
        <v>260</v>
      </c>
      <c r="B21" s="170" t="s">
        <v>261</v>
      </c>
      <c r="C21" s="31" t="s">
        <v>150</v>
      </c>
      <c r="D21" s="25" t="s">
        <v>259</v>
      </c>
      <c r="E21" s="32" t="s">
        <v>18</v>
      </c>
      <c r="F21" s="48">
        <v>18</v>
      </c>
      <c r="G21" s="111">
        <v>130</v>
      </c>
      <c r="H21" s="142">
        <f t="shared" si="0"/>
        <v>2340</v>
      </c>
    </row>
    <row r="22" spans="1:8" ht="105" customHeight="1" x14ac:dyDescent="0.2">
      <c r="A22" s="158" t="s">
        <v>262</v>
      </c>
      <c r="B22" s="170" t="s">
        <v>263</v>
      </c>
      <c r="C22" s="31" t="s">
        <v>28</v>
      </c>
      <c r="D22" s="25" t="s">
        <v>217</v>
      </c>
      <c r="E22" s="32" t="s">
        <v>27</v>
      </c>
      <c r="F22" s="48">
        <v>33</v>
      </c>
      <c r="G22" s="111">
        <v>121.71</v>
      </c>
      <c r="H22" s="142">
        <f t="shared" si="0"/>
        <v>4016.43</v>
      </c>
    </row>
    <row r="23" spans="1:8" ht="34.5" customHeight="1" x14ac:dyDescent="0.2">
      <c r="A23" s="40" t="s">
        <v>241</v>
      </c>
      <c r="B23" s="47" t="s">
        <v>264</v>
      </c>
      <c r="C23" s="31" t="s">
        <v>62</v>
      </c>
      <c r="D23" s="25" t="s">
        <v>63</v>
      </c>
      <c r="E23" s="39" t="s">
        <v>18</v>
      </c>
      <c r="F23" s="28">
        <v>6</v>
      </c>
      <c r="G23" s="111">
        <v>110</v>
      </c>
      <c r="H23" s="144">
        <f t="shared" si="0"/>
        <v>660</v>
      </c>
    </row>
    <row r="24" spans="1:8" ht="51.75" customHeight="1" x14ac:dyDescent="0.2">
      <c r="A24" s="40" t="s">
        <v>265</v>
      </c>
      <c r="B24" s="47" t="s">
        <v>266</v>
      </c>
      <c r="C24" s="31" t="s">
        <v>103</v>
      </c>
      <c r="D24" s="25" t="s">
        <v>104</v>
      </c>
      <c r="E24" s="39" t="s">
        <v>18</v>
      </c>
      <c r="F24" s="28">
        <v>10</v>
      </c>
      <c r="G24" s="111">
        <v>68</v>
      </c>
      <c r="H24" s="144">
        <f t="shared" si="0"/>
        <v>680</v>
      </c>
    </row>
    <row r="25" spans="1:8" ht="38.25" customHeight="1" x14ac:dyDescent="0.2">
      <c r="A25" s="40" t="s">
        <v>237</v>
      </c>
      <c r="B25" s="47" t="s">
        <v>267</v>
      </c>
      <c r="C25" s="31" t="s">
        <v>166</v>
      </c>
      <c r="D25" s="25" t="s">
        <v>199</v>
      </c>
      <c r="E25" s="39" t="s">
        <v>18</v>
      </c>
      <c r="F25" s="28">
        <v>22</v>
      </c>
      <c r="G25" s="111">
        <v>70</v>
      </c>
      <c r="H25" s="144">
        <f t="shared" si="0"/>
        <v>1540</v>
      </c>
    </row>
    <row r="26" spans="1:8" ht="54.75" customHeight="1" x14ac:dyDescent="0.2">
      <c r="A26" s="158" t="s">
        <v>268</v>
      </c>
      <c r="B26" s="35" t="s">
        <v>269</v>
      </c>
      <c r="C26" s="31" t="s">
        <v>115</v>
      </c>
      <c r="D26" s="25" t="s">
        <v>222</v>
      </c>
      <c r="E26" s="32" t="s">
        <v>27</v>
      </c>
      <c r="F26" s="42">
        <v>10</v>
      </c>
      <c r="G26" s="143">
        <v>520</v>
      </c>
      <c r="H26" s="144">
        <f t="shared" si="0"/>
        <v>5200</v>
      </c>
    </row>
    <row r="27" spans="1:8" ht="44.25" customHeight="1" x14ac:dyDescent="0.2">
      <c r="A27" s="158" t="s">
        <v>270</v>
      </c>
      <c r="B27" s="170" t="s">
        <v>271</v>
      </c>
      <c r="C27" s="31" t="s">
        <v>31</v>
      </c>
      <c r="D27" s="25" t="s">
        <v>57</v>
      </c>
      <c r="E27" s="32" t="s">
        <v>19</v>
      </c>
      <c r="F27" s="48">
        <v>15</v>
      </c>
      <c r="G27" s="111">
        <v>83.2</v>
      </c>
      <c r="H27" s="144">
        <f t="shared" si="0"/>
        <v>1248</v>
      </c>
    </row>
    <row r="28" spans="1:8" ht="46.5" customHeight="1" x14ac:dyDescent="0.2">
      <c r="A28" s="40" t="s">
        <v>273</v>
      </c>
      <c r="B28" s="47" t="s">
        <v>274</v>
      </c>
      <c r="C28" s="31" t="s">
        <v>113</v>
      </c>
      <c r="D28" s="25" t="s">
        <v>200</v>
      </c>
      <c r="E28" s="21" t="s">
        <v>272</v>
      </c>
      <c r="F28" s="28">
        <v>6</v>
      </c>
      <c r="G28" s="111">
        <v>130</v>
      </c>
      <c r="H28" s="144">
        <f t="shared" si="0"/>
        <v>780</v>
      </c>
    </row>
    <row r="29" spans="1:8" ht="27" customHeight="1" x14ac:dyDescent="0.2">
      <c r="A29" s="40" t="s">
        <v>277</v>
      </c>
      <c r="B29" s="47" t="s">
        <v>276</v>
      </c>
      <c r="C29" s="31" t="s">
        <v>174</v>
      </c>
      <c r="D29" s="25" t="s">
        <v>275</v>
      </c>
      <c r="E29" s="32" t="s">
        <v>18</v>
      </c>
      <c r="F29" s="28">
        <v>3</v>
      </c>
      <c r="G29" s="111">
        <v>130</v>
      </c>
      <c r="H29" s="144">
        <f t="shared" si="0"/>
        <v>390</v>
      </c>
    </row>
    <row r="30" spans="1:8" ht="29.25" customHeight="1" x14ac:dyDescent="0.2">
      <c r="A30" s="40" t="s">
        <v>278</v>
      </c>
      <c r="B30" s="47" t="s">
        <v>279</v>
      </c>
      <c r="C30" s="31" t="s">
        <v>48</v>
      </c>
      <c r="D30" s="25" t="s">
        <v>58</v>
      </c>
      <c r="E30" s="21" t="s">
        <v>18</v>
      </c>
      <c r="F30" s="28">
        <v>4</v>
      </c>
      <c r="G30" s="111">
        <v>561.95000000000005</v>
      </c>
      <c r="H30" s="144">
        <f t="shared" si="0"/>
        <v>2247.8000000000002</v>
      </c>
    </row>
    <row r="31" spans="1:8" ht="56.25" customHeight="1" x14ac:dyDescent="0.2">
      <c r="A31" s="40" t="s">
        <v>281</v>
      </c>
      <c r="B31" s="47" t="s">
        <v>282</v>
      </c>
      <c r="C31" s="31" t="s">
        <v>32</v>
      </c>
      <c r="D31" s="25" t="s">
        <v>280</v>
      </c>
      <c r="E31" s="32" t="s">
        <v>18</v>
      </c>
      <c r="F31" s="28">
        <v>11</v>
      </c>
      <c r="G31" s="111">
        <v>159.4</v>
      </c>
      <c r="H31" s="144">
        <f t="shared" si="0"/>
        <v>1753.4</v>
      </c>
    </row>
    <row r="32" spans="1:8" ht="24" customHeight="1" x14ac:dyDescent="0.2">
      <c r="A32" s="178" t="s">
        <v>283</v>
      </c>
      <c r="B32" s="47" t="s">
        <v>140</v>
      </c>
      <c r="C32" s="21" t="s">
        <v>126</v>
      </c>
      <c r="D32" s="25" t="s">
        <v>127</v>
      </c>
      <c r="E32" s="21" t="s">
        <v>18</v>
      </c>
      <c r="F32" s="28">
        <v>1</v>
      </c>
      <c r="G32" s="111">
        <v>70</v>
      </c>
      <c r="H32" s="144">
        <f t="shared" si="0"/>
        <v>70</v>
      </c>
    </row>
    <row r="33" spans="1:8" ht="31.5" customHeight="1" x14ac:dyDescent="0.2">
      <c r="A33" s="40" t="s">
        <v>286</v>
      </c>
      <c r="B33" s="47" t="s">
        <v>287</v>
      </c>
      <c r="C33" s="31" t="s">
        <v>284</v>
      </c>
      <c r="D33" s="25" t="s">
        <v>285</v>
      </c>
      <c r="E33" s="32" t="s">
        <v>27</v>
      </c>
      <c r="F33" s="28">
        <v>14</v>
      </c>
      <c r="G33" s="111">
        <v>41.6</v>
      </c>
      <c r="H33" s="144">
        <f t="shared" si="0"/>
        <v>582.4</v>
      </c>
    </row>
    <row r="34" spans="1:8" ht="21" customHeight="1" thickBot="1" x14ac:dyDescent="0.25">
      <c r="A34" s="51"/>
      <c r="B34" s="135"/>
      <c r="C34" s="136"/>
      <c r="D34" s="54"/>
      <c r="E34" s="137"/>
      <c r="F34" s="56"/>
      <c r="G34" s="141" t="s">
        <v>60</v>
      </c>
      <c r="H34" s="179">
        <f>SUM(H7:H33)</f>
        <v>65099.17</v>
      </c>
    </row>
    <row r="35" spans="1:8" ht="13.5" thickBot="1" x14ac:dyDescent="0.25">
      <c r="A35" s="58"/>
      <c r="B35" s="213" t="s">
        <v>33</v>
      </c>
      <c r="C35" s="214"/>
      <c r="D35" s="59"/>
      <c r="E35" s="60"/>
      <c r="F35" s="213" t="s">
        <v>33</v>
      </c>
      <c r="G35" s="215"/>
      <c r="H35" s="214"/>
    </row>
    <row r="36" spans="1:8" ht="12.75" x14ac:dyDescent="0.2">
      <c r="A36" s="58"/>
      <c r="B36" s="195" t="s">
        <v>11</v>
      </c>
      <c r="C36" s="195" t="s">
        <v>34</v>
      </c>
      <c r="D36" s="59"/>
      <c r="E36" s="61"/>
      <c r="F36" s="195" t="s">
        <v>15</v>
      </c>
      <c r="G36" s="197" t="s">
        <v>35</v>
      </c>
      <c r="H36" s="199" t="s">
        <v>36</v>
      </c>
    </row>
    <row r="37" spans="1:8" ht="13.5" thickBot="1" x14ac:dyDescent="0.25">
      <c r="A37" s="58"/>
      <c r="B37" s="196"/>
      <c r="C37" s="196"/>
      <c r="D37" s="59"/>
      <c r="E37" s="61"/>
      <c r="F37" s="196"/>
      <c r="G37" s="198"/>
      <c r="H37" s="200"/>
    </row>
    <row r="38" spans="1:8" ht="12.75" x14ac:dyDescent="0.2">
      <c r="A38" s="58"/>
      <c r="B38" s="124" t="str">
        <f t="shared" ref="B38:B58" si="1">C7</f>
        <v>ROTS0003-02</v>
      </c>
      <c r="C38" s="151">
        <f t="shared" ref="C38:C58" si="2">F7</f>
        <v>202</v>
      </c>
      <c r="D38" s="59"/>
      <c r="E38" s="61"/>
      <c r="F38" s="64"/>
      <c r="G38" s="114"/>
      <c r="H38" s="115"/>
    </row>
    <row r="39" spans="1:8" ht="12.75" x14ac:dyDescent="0.2">
      <c r="A39" s="58"/>
      <c r="B39" s="62" t="str">
        <f t="shared" si="1"/>
        <v>ROTS0007-01</v>
      </c>
      <c r="C39" s="67">
        <f t="shared" si="2"/>
        <v>19</v>
      </c>
      <c r="D39" s="59" t="s">
        <v>65</v>
      </c>
      <c r="E39" s="61"/>
      <c r="F39" s="64"/>
      <c r="G39" s="114"/>
      <c r="H39" s="115"/>
    </row>
    <row r="40" spans="1:8" ht="12.75" x14ac:dyDescent="0.2">
      <c r="A40" s="58"/>
      <c r="B40" s="62" t="str">
        <f t="shared" si="1"/>
        <v>ROTS0008-02</v>
      </c>
      <c r="C40" s="67">
        <f t="shared" si="2"/>
        <v>4</v>
      </c>
      <c r="D40" s="59"/>
      <c r="E40" s="61"/>
      <c r="F40" s="64"/>
      <c r="G40" s="114"/>
      <c r="H40" s="115"/>
    </row>
    <row r="41" spans="1:8" ht="12.75" x14ac:dyDescent="0.2">
      <c r="A41" s="58"/>
      <c r="B41" s="62" t="str">
        <f t="shared" si="1"/>
        <v>ROTS0008-03</v>
      </c>
      <c r="C41" s="67">
        <f t="shared" si="2"/>
        <v>1</v>
      </c>
      <c r="D41" s="59"/>
      <c r="E41" s="61"/>
      <c r="F41" s="64"/>
      <c r="G41" s="114"/>
      <c r="H41" s="115"/>
    </row>
    <row r="42" spans="1:8" ht="12.75" x14ac:dyDescent="0.2">
      <c r="A42" s="58"/>
      <c r="B42" s="62" t="str">
        <f t="shared" si="1"/>
        <v>ROTS0009-02</v>
      </c>
      <c r="C42" s="67">
        <f t="shared" si="2"/>
        <v>1</v>
      </c>
      <c r="D42" s="59"/>
      <c r="E42" s="61"/>
      <c r="F42" s="64"/>
      <c r="G42" s="114"/>
      <c r="H42" s="115"/>
    </row>
    <row r="43" spans="1:8" ht="12.75" x14ac:dyDescent="0.2">
      <c r="A43" s="58"/>
      <c r="B43" s="62" t="str">
        <f t="shared" si="1"/>
        <v>ROTS0010-02</v>
      </c>
      <c r="C43" s="67">
        <f t="shared" si="2"/>
        <v>4</v>
      </c>
      <c r="D43" s="59"/>
      <c r="E43" s="61"/>
      <c r="F43" s="64"/>
      <c r="G43" s="114"/>
      <c r="H43" s="115"/>
    </row>
    <row r="44" spans="1:8" ht="12.75" x14ac:dyDescent="0.2">
      <c r="A44" s="58"/>
      <c r="B44" s="62" t="str">
        <f t="shared" si="1"/>
        <v>ROTS0012-01</v>
      </c>
      <c r="C44" s="67">
        <f t="shared" si="2"/>
        <v>25</v>
      </c>
      <c r="D44" s="59"/>
      <c r="E44" s="61"/>
      <c r="F44" s="64"/>
      <c r="G44" s="114"/>
      <c r="H44" s="115"/>
    </row>
    <row r="45" spans="1:8" ht="12.75" x14ac:dyDescent="0.2">
      <c r="A45" s="58"/>
      <c r="B45" s="62" t="str">
        <f t="shared" si="1"/>
        <v>ROTS0012-02</v>
      </c>
      <c r="C45" s="67">
        <f t="shared" si="2"/>
        <v>2</v>
      </c>
      <c r="D45" s="59"/>
      <c r="E45" s="61"/>
      <c r="F45" s="64"/>
      <c r="G45" s="114"/>
      <c r="H45" s="115"/>
    </row>
    <row r="46" spans="1:8" ht="12.75" x14ac:dyDescent="0.2">
      <c r="A46" s="58"/>
      <c r="B46" s="62" t="str">
        <f t="shared" si="1"/>
        <v>ROTS0012-03</v>
      </c>
      <c r="C46" s="67">
        <f t="shared" si="2"/>
        <v>22</v>
      </c>
      <c r="D46" s="59"/>
      <c r="E46" s="61"/>
      <c r="F46" s="64"/>
      <c r="G46" s="114"/>
      <c r="H46" s="115"/>
    </row>
    <row r="47" spans="1:8" ht="12.75" x14ac:dyDescent="0.2">
      <c r="A47" s="58"/>
      <c r="B47" s="62" t="str">
        <f t="shared" si="1"/>
        <v>ROTS0012-05</v>
      </c>
      <c r="C47" s="67">
        <f t="shared" si="2"/>
        <v>28</v>
      </c>
      <c r="D47" s="59"/>
      <c r="E47" s="61"/>
      <c r="F47" s="64"/>
      <c r="G47" s="114"/>
      <c r="H47" s="115"/>
    </row>
    <row r="48" spans="1:8" ht="12.75" x14ac:dyDescent="0.2">
      <c r="A48" s="58"/>
      <c r="B48" s="62" t="str">
        <f t="shared" si="1"/>
        <v>ROTS0014-02</v>
      </c>
      <c r="C48" s="67">
        <f t="shared" si="2"/>
        <v>29</v>
      </c>
      <c r="D48" s="59"/>
      <c r="E48" s="61"/>
      <c r="F48" s="64"/>
      <c r="G48" s="114"/>
      <c r="H48" s="115"/>
    </row>
    <row r="49" spans="1:8" ht="12.75" x14ac:dyDescent="0.2">
      <c r="A49" s="58"/>
      <c r="B49" s="62" t="str">
        <f t="shared" si="1"/>
        <v>ROTS0016-02</v>
      </c>
      <c r="C49" s="67">
        <f t="shared" si="2"/>
        <v>66</v>
      </c>
      <c r="D49" s="59"/>
      <c r="E49" s="61"/>
      <c r="F49" s="64"/>
      <c r="G49" s="114"/>
      <c r="H49" s="115"/>
    </row>
    <row r="50" spans="1:8" ht="12.75" x14ac:dyDescent="0.2">
      <c r="A50" s="58"/>
      <c r="B50" s="62" t="str">
        <f t="shared" si="1"/>
        <v>ROTS0017-01</v>
      </c>
      <c r="C50" s="67">
        <f t="shared" si="2"/>
        <v>4</v>
      </c>
      <c r="D50" s="59"/>
      <c r="E50" s="61"/>
      <c r="F50" s="64"/>
      <c r="G50" s="114"/>
      <c r="H50" s="115"/>
    </row>
    <row r="51" spans="1:8" ht="12.75" x14ac:dyDescent="0.2">
      <c r="A51" s="58"/>
      <c r="B51" s="62" t="str">
        <f t="shared" si="1"/>
        <v>ROTS0019-01</v>
      </c>
      <c r="C51" s="67">
        <f t="shared" si="2"/>
        <v>14</v>
      </c>
      <c r="D51" s="59"/>
      <c r="E51" s="61"/>
      <c r="F51" s="64"/>
      <c r="G51" s="114"/>
      <c r="H51" s="115"/>
    </row>
    <row r="52" spans="1:8" ht="12.75" x14ac:dyDescent="0.2">
      <c r="A52" s="58"/>
      <c r="B52" s="62" t="str">
        <f t="shared" si="1"/>
        <v>ROTS0037-01</v>
      </c>
      <c r="C52" s="67">
        <f t="shared" si="2"/>
        <v>18</v>
      </c>
      <c r="D52" s="59"/>
      <c r="E52" s="61"/>
      <c r="F52" s="64"/>
      <c r="G52" s="114"/>
      <c r="H52" s="115"/>
    </row>
    <row r="53" spans="1:8" ht="12.75" x14ac:dyDescent="0.2">
      <c r="A53" s="58"/>
      <c r="B53" s="62" t="str">
        <f t="shared" si="1"/>
        <v>ROTS0038-01</v>
      </c>
      <c r="C53" s="67">
        <f t="shared" si="2"/>
        <v>33</v>
      </c>
      <c r="D53" s="59"/>
      <c r="E53" s="61"/>
      <c r="F53" s="64"/>
      <c r="G53" s="114"/>
      <c r="H53" s="115"/>
    </row>
    <row r="54" spans="1:8" ht="12.75" x14ac:dyDescent="0.2">
      <c r="A54" s="58"/>
      <c r="B54" s="62" t="str">
        <f t="shared" si="1"/>
        <v>ROTS0039-01</v>
      </c>
      <c r="C54" s="67">
        <f t="shared" si="2"/>
        <v>6</v>
      </c>
      <c r="D54" s="59"/>
      <c r="E54" s="61"/>
      <c r="F54" s="64"/>
      <c r="G54" s="114"/>
      <c r="H54" s="115"/>
    </row>
    <row r="55" spans="1:8" ht="12.75" x14ac:dyDescent="0.2">
      <c r="A55" s="58"/>
      <c r="B55" s="62" t="str">
        <f t="shared" si="1"/>
        <v>ROTS0040-02</v>
      </c>
      <c r="C55" s="67">
        <f t="shared" si="2"/>
        <v>10</v>
      </c>
      <c r="D55" s="59"/>
      <c r="E55" s="61"/>
      <c r="F55" s="64"/>
      <c r="G55" s="114"/>
      <c r="H55" s="115"/>
    </row>
    <row r="56" spans="1:8" ht="12.75" x14ac:dyDescent="0.2">
      <c r="A56" s="58"/>
      <c r="B56" s="62" t="str">
        <f t="shared" si="1"/>
        <v>ROTS0065-01</v>
      </c>
      <c r="C56" s="67">
        <f t="shared" si="2"/>
        <v>22</v>
      </c>
      <c r="D56" s="59"/>
      <c r="E56" s="61"/>
      <c r="F56" s="64"/>
      <c r="G56" s="114"/>
      <c r="H56" s="115"/>
    </row>
    <row r="57" spans="1:8" ht="12.75" x14ac:dyDescent="0.2">
      <c r="A57" s="58"/>
      <c r="B57" s="62" t="str">
        <f t="shared" si="1"/>
        <v>ROTS0068-02</v>
      </c>
      <c r="C57" s="67">
        <f t="shared" si="2"/>
        <v>10</v>
      </c>
      <c r="D57" s="59"/>
      <c r="E57" s="61"/>
      <c r="F57" s="64"/>
      <c r="G57" s="114"/>
      <c r="H57" s="115"/>
    </row>
    <row r="58" spans="1:8" ht="12.75" x14ac:dyDescent="0.2">
      <c r="A58" s="58"/>
      <c r="B58" s="62" t="str">
        <f t="shared" si="1"/>
        <v>ROTS0070-01</v>
      </c>
      <c r="C58" s="67">
        <f t="shared" si="2"/>
        <v>15</v>
      </c>
      <c r="D58" s="59"/>
      <c r="E58" s="61"/>
      <c r="F58" s="64"/>
      <c r="G58" s="114"/>
      <c r="H58" s="115"/>
    </row>
    <row r="59" spans="1:8" ht="12.75" x14ac:dyDescent="0.2">
      <c r="A59" s="58"/>
      <c r="B59" s="62" t="str">
        <f t="shared" ref="B59:B60" si="3">C28</f>
        <v>ROTS0071-02</v>
      </c>
      <c r="C59" s="67">
        <f t="shared" ref="C59:C60" si="4">F28</f>
        <v>6</v>
      </c>
      <c r="D59" s="59"/>
      <c r="E59" s="61"/>
      <c r="F59" s="64"/>
      <c r="G59" s="114"/>
      <c r="H59" s="115"/>
    </row>
    <row r="60" spans="1:8" ht="12.75" x14ac:dyDescent="0.2">
      <c r="A60" s="58"/>
      <c r="B60" s="62" t="str">
        <f t="shared" si="3"/>
        <v>ROTS0079-03</v>
      </c>
      <c r="C60" s="67">
        <f t="shared" si="4"/>
        <v>3</v>
      </c>
      <c r="D60" s="59"/>
      <c r="E60" s="61"/>
      <c r="F60" s="64"/>
      <c r="G60" s="114"/>
      <c r="H60" s="115"/>
    </row>
    <row r="61" spans="1:8" ht="12.75" x14ac:dyDescent="0.2">
      <c r="A61" s="58"/>
      <c r="B61" s="62" t="str">
        <f t="shared" ref="B61:B62" si="5">C30</f>
        <v>ROTS0090-01</v>
      </c>
      <c r="C61" s="67">
        <f t="shared" ref="C61:C62" si="6">F30</f>
        <v>4</v>
      </c>
      <c r="D61" s="59"/>
      <c r="E61" s="61"/>
      <c r="F61" s="64"/>
      <c r="G61" s="114"/>
      <c r="H61" s="115"/>
    </row>
    <row r="62" spans="1:8" ht="12.75" x14ac:dyDescent="0.2">
      <c r="A62" s="58"/>
      <c r="B62" s="62" t="str">
        <f t="shared" si="5"/>
        <v>ROTS0091-01</v>
      </c>
      <c r="C62" s="67">
        <f t="shared" si="6"/>
        <v>11</v>
      </c>
      <c r="D62" s="59"/>
      <c r="E62" s="61"/>
      <c r="F62" s="64"/>
      <c r="G62" s="114"/>
      <c r="H62" s="115"/>
    </row>
    <row r="63" spans="1:8" ht="12.75" x14ac:dyDescent="0.2">
      <c r="A63" s="58"/>
      <c r="B63" s="62" t="str">
        <f t="shared" ref="B63:B64" si="7">C32</f>
        <v>ROTS0110-01</v>
      </c>
      <c r="C63" s="67">
        <f t="shared" ref="C63:C64" si="8">F32</f>
        <v>1</v>
      </c>
      <c r="D63" s="59"/>
      <c r="E63" s="61"/>
      <c r="F63" s="64"/>
      <c r="G63" s="114"/>
      <c r="H63" s="115"/>
    </row>
    <row r="64" spans="1:8" ht="12.75" x14ac:dyDescent="0.2">
      <c r="A64" s="58"/>
      <c r="B64" s="62" t="str">
        <f t="shared" si="7"/>
        <v>ROTS0113-01</v>
      </c>
      <c r="C64" s="67">
        <f t="shared" si="8"/>
        <v>14</v>
      </c>
      <c r="D64" s="59"/>
      <c r="E64" s="61"/>
      <c r="F64" s="64"/>
      <c r="G64" s="114"/>
      <c r="H64" s="115"/>
    </row>
    <row r="65" spans="1:8" ht="13.5" thickBot="1" x14ac:dyDescent="0.25">
      <c r="A65" s="58"/>
      <c r="B65" s="167">
        <f>C35</f>
        <v>0</v>
      </c>
      <c r="C65" s="168"/>
      <c r="D65" s="59"/>
      <c r="E65" s="61"/>
      <c r="F65" s="64"/>
      <c r="G65" s="114"/>
      <c r="H65" s="115"/>
    </row>
    <row r="66" spans="1:8" s="78" customFormat="1" ht="12.75" x14ac:dyDescent="0.2">
      <c r="A66" s="73"/>
      <c r="B66" s="77"/>
      <c r="C66" s="77"/>
      <c r="D66" s="74"/>
      <c r="E66" s="75"/>
      <c r="F66" s="76" t="s">
        <v>37</v>
      </c>
      <c r="G66" s="116"/>
      <c r="H66" s="117"/>
    </row>
    <row r="67" spans="1:8" ht="11.25" customHeight="1" x14ac:dyDescent="0.2">
      <c r="A67" s="201" t="s">
        <v>38</v>
      </c>
      <c r="B67" s="202"/>
      <c r="C67" s="202"/>
      <c r="D67" s="202"/>
      <c r="E67" s="203"/>
      <c r="F67" s="190"/>
      <c r="G67" s="191"/>
      <c r="H67" s="115"/>
    </row>
    <row r="68" spans="1:8" s="81" customFormat="1" ht="28.5" customHeight="1" x14ac:dyDescent="0.2">
      <c r="A68" s="187"/>
      <c r="B68" s="188"/>
      <c r="C68" s="188"/>
      <c r="D68" s="188"/>
      <c r="E68" s="189"/>
      <c r="F68" s="190" t="s">
        <v>39</v>
      </c>
      <c r="G68" s="191"/>
      <c r="H68" s="118" t="s">
        <v>40</v>
      </c>
    </row>
    <row r="69" spans="1:8" s="81" customFormat="1" ht="54" customHeight="1" x14ac:dyDescent="0.2">
      <c r="A69" s="79"/>
      <c r="B69" s="192" t="s">
        <v>41</v>
      </c>
      <c r="C69" s="192"/>
      <c r="D69" s="192"/>
      <c r="E69" s="80"/>
      <c r="F69" s="193" t="s">
        <v>42</v>
      </c>
      <c r="G69" s="194"/>
      <c r="H69" s="118" t="s">
        <v>43</v>
      </c>
    </row>
    <row r="70" spans="1:8" s="81" customFormat="1" ht="13.5" thickBot="1" x14ac:dyDescent="0.25">
      <c r="A70" s="82"/>
      <c r="B70" s="83"/>
      <c r="C70" s="83"/>
      <c r="D70" s="84"/>
      <c r="E70" s="169"/>
      <c r="F70" s="86"/>
      <c r="G70" s="119"/>
      <c r="H70" s="120"/>
    </row>
  </sheetData>
  <mergeCells count="18">
    <mergeCell ref="A68:E68"/>
    <mergeCell ref="F68:G68"/>
    <mergeCell ref="B69:D69"/>
    <mergeCell ref="F69:G69"/>
    <mergeCell ref="B36:B37"/>
    <mergeCell ref="C36:C37"/>
    <mergeCell ref="F36:F37"/>
    <mergeCell ref="G36:G37"/>
    <mergeCell ref="H36:H37"/>
    <mergeCell ref="A67:E67"/>
    <mergeCell ref="F67:G67"/>
    <mergeCell ref="A2:H2"/>
    <mergeCell ref="A3:E3"/>
    <mergeCell ref="B4:C4"/>
    <mergeCell ref="A5:F5"/>
    <mergeCell ref="G5:H5"/>
    <mergeCell ref="B35:C35"/>
    <mergeCell ref="F35:H35"/>
  </mergeCells>
  <phoneticPr fontId="19" type="noConversion"/>
  <pageMargins left="0.25" right="0.25" top="0.75" bottom="0.75" header="0.3" footer="0.3"/>
  <pageSetup paperSize="9" scale="68" fitToHeight="0" orientation="portrait" r:id="rId1"/>
  <rowBreaks count="2" manualBreakCount="2">
    <brk id="20" max="8" man="1"/>
    <brk id="6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9CFE-5616-4F47-B4B1-B960C98C8FC5}">
  <sheetPr>
    <pageSetUpPr fitToPage="1"/>
  </sheetPr>
  <dimension ref="A1:H66"/>
  <sheetViews>
    <sheetView topLeftCell="A17" zoomScale="85" zoomScaleNormal="85" workbookViewId="0">
      <selection activeCell="H22" sqref="H22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1.71093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5.140625" style="122" customWidth="1"/>
    <col min="9" max="9" width="2.42578125" style="7" customWidth="1"/>
    <col min="10" max="10" width="9" style="7"/>
    <col min="11" max="12" width="10.85546875" style="7" bestFit="1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106" t="s">
        <v>3</v>
      </c>
      <c r="H3" s="107" t="s">
        <v>345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>
        <v>45869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8" ht="39.75" customHeight="1" x14ac:dyDescent="0.2">
      <c r="A7" s="127" t="s">
        <v>289</v>
      </c>
      <c r="B7" s="128" t="s">
        <v>290</v>
      </c>
      <c r="C7" s="129" t="s">
        <v>22</v>
      </c>
      <c r="D7" s="130" t="s">
        <v>45</v>
      </c>
      <c r="E7" s="131" t="s">
        <v>54</v>
      </c>
      <c r="F7" s="132">
        <v>3</v>
      </c>
      <c r="G7" s="133"/>
      <c r="H7" s="134"/>
    </row>
    <row r="8" spans="1:8" ht="91.5" customHeight="1" x14ac:dyDescent="0.2">
      <c r="A8" s="30" t="s">
        <v>291</v>
      </c>
      <c r="B8" s="94" t="s">
        <v>292</v>
      </c>
      <c r="C8" s="19" t="s">
        <v>288</v>
      </c>
      <c r="D8" s="20" t="s">
        <v>232</v>
      </c>
      <c r="E8" s="21" t="s">
        <v>19</v>
      </c>
      <c r="F8" s="26">
        <v>57</v>
      </c>
      <c r="G8" s="110"/>
      <c r="H8" s="123"/>
    </row>
    <row r="9" spans="1:8" ht="69.75" customHeight="1" x14ac:dyDescent="0.2">
      <c r="A9" s="23" t="s">
        <v>293</v>
      </c>
      <c r="B9" s="24" t="s">
        <v>294</v>
      </c>
      <c r="C9" s="19" t="s">
        <v>68</v>
      </c>
      <c r="D9" s="20" t="s">
        <v>133</v>
      </c>
      <c r="E9" s="21" t="s">
        <v>27</v>
      </c>
      <c r="F9" s="26">
        <v>31</v>
      </c>
      <c r="G9" s="110"/>
      <c r="H9" s="123"/>
    </row>
    <row r="10" spans="1:8" ht="32.25" customHeight="1" x14ac:dyDescent="0.2">
      <c r="A10" s="45" t="s">
        <v>295</v>
      </c>
      <c r="B10" s="24" t="s">
        <v>296</v>
      </c>
      <c r="C10" s="31" t="s">
        <v>24</v>
      </c>
      <c r="D10" s="25" t="s">
        <v>72</v>
      </c>
      <c r="E10" s="21" t="s">
        <v>54</v>
      </c>
      <c r="F10" s="26">
        <v>1</v>
      </c>
      <c r="G10" s="110"/>
      <c r="H10" s="123"/>
    </row>
    <row r="11" spans="1:8" ht="41.25" customHeight="1" x14ac:dyDescent="0.2">
      <c r="A11" s="45" t="s">
        <v>297</v>
      </c>
      <c r="B11" s="24" t="s">
        <v>298</v>
      </c>
      <c r="C11" s="31" t="s">
        <v>138</v>
      </c>
      <c r="D11" s="25" t="s">
        <v>139</v>
      </c>
      <c r="E11" s="21" t="s">
        <v>54</v>
      </c>
      <c r="F11" s="26">
        <v>4</v>
      </c>
      <c r="G11" s="110"/>
      <c r="H11" s="123"/>
    </row>
    <row r="12" spans="1:8" ht="54.75" customHeight="1" x14ac:dyDescent="0.2">
      <c r="A12" s="45" t="s">
        <v>297</v>
      </c>
      <c r="B12" s="24" t="s">
        <v>299</v>
      </c>
      <c r="C12" s="31" t="s">
        <v>77</v>
      </c>
      <c r="D12" s="25" t="s">
        <v>240</v>
      </c>
      <c r="E12" s="21" t="s">
        <v>21</v>
      </c>
      <c r="F12" s="26">
        <v>7</v>
      </c>
      <c r="G12" s="110"/>
      <c r="H12" s="123"/>
    </row>
    <row r="13" spans="1:8" ht="44.25" customHeight="1" x14ac:dyDescent="0.2">
      <c r="A13" s="126" t="s">
        <v>300</v>
      </c>
      <c r="B13" s="94" t="s">
        <v>301</v>
      </c>
      <c r="C13" s="19" t="s">
        <v>80</v>
      </c>
      <c r="D13" s="20" t="s">
        <v>302</v>
      </c>
      <c r="E13" s="21" t="s">
        <v>20</v>
      </c>
      <c r="F13" s="26">
        <v>51</v>
      </c>
      <c r="G13" s="110"/>
      <c r="H13" s="123"/>
    </row>
    <row r="14" spans="1:8" ht="39" customHeight="1" x14ac:dyDescent="0.2">
      <c r="A14" s="23" t="s">
        <v>297</v>
      </c>
      <c r="B14" s="24" t="s">
        <v>303</v>
      </c>
      <c r="C14" s="19" t="s">
        <v>84</v>
      </c>
      <c r="D14" s="20" t="s">
        <v>85</v>
      </c>
      <c r="E14" s="21" t="s">
        <v>20</v>
      </c>
      <c r="F14" s="26">
        <v>33</v>
      </c>
      <c r="G14" s="110"/>
      <c r="H14" s="123"/>
    </row>
    <row r="15" spans="1:8" ht="45" customHeight="1" x14ac:dyDescent="0.2">
      <c r="A15" s="45" t="s">
        <v>306</v>
      </c>
      <c r="B15" s="24" t="s">
        <v>305</v>
      </c>
      <c r="C15" s="31" t="s">
        <v>145</v>
      </c>
      <c r="D15" s="25" t="s">
        <v>304</v>
      </c>
      <c r="E15" s="21" t="s">
        <v>20</v>
      </c>
      <c r="F15" s="26">
        <v>7</v>
      </c>
      <c r="G15" s="110"/>
      <c r="H15" s="123"/>
    </row>
    <row r="16" spans="1:8" ht="102.75" customHeight="1" x14ac:dyDescent="0.2">
      <c r="A16" s="45" t="s">
        <v>307</v>
      </c>
      <c r="B16" s="24" t="s">
        <v>308</v>
      </c>
      <c r="C16" s="31" t="s">
        <v>52</v>
      </c>
      <c r="D16" s="25" t="s">
        <v>309</v>
      </c>
      <c r="E16" s="21" t="s">
        <v>18</v>
      </c>
      <c r="F16" s="26">
        <v>31</v>
      </c>
      <c r="G16" s="110"/>
      <c r="H16" s="123"/>
    </row>
    <row r="17" spans="1:8" ht="93.75" customHeight="1" x14ac:dyDescent="0.2">
      <c r="A17" s="126" t="s">
        <v>310</v>
      </c>
      <c r="B17" s="24" t="s">
        <v>311</v>
      </c>
      <c r="C17" s="31" t="s">
        <v>25</v>
      </c>
      <c r="D17" s="25" t="s">
        <v>46</v>
      </c>
      <c r="E17" s="21" t="s">
        <v>21</v>
      </c>
      <c r="F17" s="26">
        <v>53</v>
      </c>
      <c r="G17" s="110"/>
      <c r="H17" s="123"/>
    </row>
    <row r="18" spans="1:8" ht="33.75" customHeight="1" x14ac:dyDescent="0.2">
      <c r="A18" s="45" t="s">
        <v>312</v>
      </c>
      <c r="B18" s="24" t="s">
        <v>313</v>
      </c>
      <c r="C18" s="19" t="s">
        <v>26</v>
      </c>
      <c r="D18" s="20" t="s">
        <v>55</v>
      </c>
      <c r="E18" s="21" t="s">
        <v>27</v>
      </c>
      <c r="F18" s="26">
        <v>9</v>
      </c>
      <c r="G18" s="110"/>
      <c r="H18" s="123"/>
    </row>
    <row r="19" spans="1:8" ht="59.25" customHeight="1" x14ac:dyDescent="0.2">
      <c r="A19" s="23" t="s">
        <v>315</v>
      </c>
      <c r="B19" s="24" t="s">
        <v>316</v>
      </c>
      <c r="C19" s="19" t="s">
        <v>150</v>
      </c>
      <c r="D19" s="20" t="s">
        <v>314</v>
      </c>
      <c r="E19" s="21" t="s">
        <v>18</v>
      </c>
      <c r="F19" s="26">
        <v>29</v>
      </c>
      <c r="G19" s="110"/>
      <c r="H19" s="123"/>
    </row>
    <row r="20" spans="1:8" ht="81.75" customHeight="1" x14ac:dyDescent="0.2">
      <c r="A20" s="45" t="s">
        <v>318</v>
      </c>
      <c r="B20" s="24" t="s">
        <v>319</v>
      </c>
      <c r="C20" s="31" t="s">
        <v>28</v>
      </c>
      <c r="D20" s="25" t="s">
        <v>317</v>
      </c>
      <c r="E20" s="21" t="s">
        <v>27</v>
      </c>
      <c r="F20" s="26">
        <v>42</v>
      </c>
      <c r="G20" s="110"/>
      <c r="H20" s="123"/>
    </row>
    <row r="21" spans="1:8" ht="36.75" customHeight="1" x14ac:dyDescent="0.2">
      <c r="A21" s="45" t="s">
        <v>320</v>
      </c>
      <c r="B21" s="24" t="s">
        <v>321</v>
      </c>
      <c r="C21" s="31" t="s">
        <v>103</v>
      </c>
      <c r="D21" s="25" t="s">
        <v>104</v>
      </c>
      <c r="E21" s="21" t="s">
        <v>18</v>
      </c>
      <c r="F21" s="26">
        <v>5</v>
      </c>
      <c r="G21" s="110"/>
      <c r="H21" s="123"/>
    </row>
    <row r="22" spans="1:8" ht="56.25" customHeight="1" x14ac:dyDescent="0.2">
      <c r="A22" s="45" t="s">
        <v>297</v>
      </c>
      <c r="B22" s="24" t="s">
        <v>322</v>
      </c>
      <c r="C22" s="31" t="s">
        <v>166</v>
      </c>
      <c r="D22" s="25" t="s">
        <v>199</v>
      </c>
      <c r="E22" s="21" t="s">
        <v>18</v>
      </c>
      <c r="F22" s="26">
        <v>42</v>
      </c>
      <c r="G22" s="110"/>
      <c r="H22" s="123"/>
    </row>
    <row r="23" spans="1:8" ht="54.75" customHeight="1" x14ac:dyDescent="0.2">
      <c r="A23" s="30" t="s">
        <v>323</v>
      </c>
      <c r="B23" s="94" t="s">
        <v>324</v>
      </c>
      <c r="C23" s="19" t="s">
        <v>115</v>
      </c>
      <c r="D23" s="20" t="s">
        <v>222</v>
      </c>
      <c r="E23" s="21" t="s">
        <v>27</v>
      </c>
      <c r="F23" s="26">
        <v>26</v>
      </c>
      <c r="G23" s="110"/>
      <c r="H23" s="123"/>
    </row>
    <row r="24" spans="1:8" ht="53.25" customHeight="1" x14ac:dyDescent="0.2">
      <c r="A24" s="23" t="s">
        <v>326</v>
      </c>
      <c r="B24" s="24" t="s">
        <v>327</v>
      </c>
      <c r="C24" s="19" t="s">
        <v>31</v>
      </c>
      <c r="D24" s="20" t="s">
        <v>325</v>
      </c>
      <c r="E24" s="21" t="s">
        <v>19</v>
      </c>
      <c r="F24" s="26">
        <v>21</v>
      </c>
      <c r="G24" s="110"/>
      <c r="H24" s="123"/>
    </row>
    <row r="25" spans="1:8" ht="42.75" customHeight="1" x14ac:dyDescent="0.2">
      <c r="A25" s="45" t="s">
        <v>297</v>
      </c>
      <c r="B25" s="24" t="s">
        <v>328</v>
      </c>
      <c r="C25" s="31" t="s">
        <v>113</v>
      </c>
      <c r="D25" s="25" t="s">
        <v>329</v>
      </c>
      <c r="E25" s="21" t="s">
        <v>272</v>
      </c>
      <c r="F25" s="26">
        <v>6</v>
      </c>
      <c r="G25" s="110"/>
      <c r="H25" s="123"/>
    </row>
    <row r="26" spans="1:8" ht="36.75" customHeight="1" x14ac:dyDescent="0.2">
      <c r="A26" s="45" t="s">
        <v>295</v>
      </c>
      <c r="B26" s="24" t="s">
        <v>330</v>
      </c>
      <c r="C26" s="31" t="s">
        <v>174</v>
      </c>
      <c r="D26" s="25" t="s">
        <v>175</v>
      </c>
      <c r="E26" s="21" t="s">
        <v>18</v>
      </c>
      <c r="F26" s="26">
        <v>2</v>
      </c>
      <c r="G26" s="110"/>
      <c r="H26" s="123"/>
    </row>
    <row r="27" spans="1:8" ht="56.25" customHeight="1" x14ac:dyDescent="0.2">
      <c r="A27" s="45" t="s">
        <v>333</v>
      </c>
      <c r="B27" s="24" t="s">
        <v>334</v>
      </c>
      <c r="C27" s="31" t="s">
        <v>48</v>
      </c>
      <c r="D27" s="25" t="s">
        <v>331</v>
      </c>
      <c r="E27" s="21" t="s">
        <v>332</v>
      </c>
      <c r="F27" s="26">
        <v>9</v>
      </c>
      <c r="G27" s="110"/>
      <c r="H27" s="123"/>
    </row>
    <row r="28" spans="1:8" ht="40.5" customHeight="1" x14ac:dyDescent="0.2">
      <c r="A28" s="43" t="s">
        <v>336</v>
      </c>
      <c r="B28" s="24" t="s">
        <v>337</v>
      </c>
      <c r="C28" s="19" t="s">
        <v>32</v>
      </c>
      <c r="D28" s="146" t="s">
        <v>335</v>
      </c>
      <c r="E28" s="21" t="s">
        <v>18</v>
      </c>
      <c r="F28" s="26">
        <v>2</v>
      </c>
      <c r="G28" s="110"/>
      <c r="H28" s="123"/>
    </row>
    <row r="29" spans="1:8" ht="32.25" customHeight="1" x14ac:dyDescent="0.2">
      <c r="A29" s="23" t="s">
        <v>297</v>
      </c>
      <c r="B29" s="24" t="s">
        <v>338</v>
      </c>
      <c r="C29" s="19" t="s">
        <v>123</v>
      </c>
      <c r="D29" s="20" t="s">
        <v>124</v>
      </c>
      <c r="E29" s="21" t="s">
        <v>21</v>
      </c>
      <c r="F29" s="26">
        <v>2</v>
      </c>
      <c r="G29" s="110"/>
      <c r="H29" s="123"/>
    </row>
    <row r="30" spans="1:8" ht="46.5" customHeight="1" x14ac:dyDescent="0.2">
      <c r="A30" s="45" t="s">
        <v>342</v>
      </c>
      <c r="B30" s="24" t="s">
        <v>242</v>
      </c>
      <c r="C30" s="31" t="s">
        <v>339</v>
      </c>
      <c r="D30" s="25" t="s">
        <v>340</v>
      </c>
      <c r="E30" s="21" t="s">
        <v>341</v>
      </c>
      <c r="F30" s="26">
        <v>4</v>
      </c>
      <c r="G30" s="110"/>
      <c r="H30" s="123"/>
    </row>
    <row r="31" spans="1:8" ht="36.75" customHeight="1" x14ac:dyDescent="0.2">
      <c r="A31" s="45" t="s">
        <v>295</v>
      </c>
      <c r="B31" s="24" t="s">
        <v>276</v>
      </c>
      <c r="C31" s="31" t="s">
        <v>343</v>
      </c>
      <c r="D31" s="25" t="s">
        <v>344</v>
      </c>
      <c r="E31" s="21" t="s">
        <v>54</v>
      </c>
      <c r="F31" s="26">
        <v>3</v>
      </c>
      <c r="G31" s="110"/>
      <c r="H31" s="123"/>
    </row>
    <row r="32" spans="1:8" ht="12" customHeight="1" thickBot="1" x14ac:dyDescent="0.25">
      <c r="A32" s="51"/>
      <c r="B32" s="135"/>
      <c r="C32" s="136"/>
      <c r="D32" s="54"/>
      <c r="E32" s="137"/>
      <c r="F32" s="56"/>
      <c r="G32" s="112"/>
      <c r="H32" s="138"/>
    </row>
    <row r="33" spans="1:8" ht="13.5" thickBot="1" x14ac:dyDescent="0.25">
      <c r="A33" s="58"/>
      <c r="B33" s="213"/>
      <c r="C33" s="214"/>
      <c r="D33" s="59"/>
      <c r="E33" s="60"/>
      <c r="F33" s="213" t="s">
        <v>33</v>
      </c>
      <c r="G33" s="215"/>
      <c r="H33" s="214"/>
    </row>
    <row r="34" spans="1:8" ht="12.75" x14ac:dyDescent="0.2">
      <c r="A34" s="58"/>
      <c r="B34" s="195" t="s">
        <v>11</v>
      </c>
      <c r="C34" s="195" t="s">
        <v>34</v>
      </c>
      <c r="D34" s="59"/>
      <c r="E34" s="61"/>
      <c r="F34" s="195" t="s">
        <v>15</v>
      </c>
      <c r="G34" s="197" t="s">
        <v>35</v>
      </c>
      <c r="H34" s="199" t="s">
        <v>36</v>
      </c>
    </row>
    <row r="35" spans="1:8" ht="13.5" thickBot="1" x14ac:dyDescent="0.25">
      <c r="A35" s="58"/>
      <c r="B35" s="196"/>
      <c r="C35" s="196"/>
      <c r="D35" s="59"/>
      <c r="E35" s="61"/>
      <c r="F35" s="196"/>
      <c r="G35" s="198"/>
      <c r="H35" s="200"/>
    </row>
    <row r="36" spans="1:8" ht="12.75" x14ac:dyDescent="0.2">
      <c r="A36" s="58"/>
      <c r="B36" s="124" t="str">
        <f t="shared" ref="B36:B60" si="0">C7</f>
        <v>ROTS0003-01</v>
      </c>
      <c r="C36" s="125">
        <f t="shared" ref="C36:C60" si="1">F7</f>
        <v>3</v>
      </c>
      <c r="D36" s="59"/>
      <c r="E36" s="61"/>
      <c r="F36" s="64"/>
      <c r="G36" s="114"/>
      <c r="H36" s="115"/>
    </row>
    <row r="37" spans="1:8" ht="12.75" x14ac:dyDescent="0.2">
      <c r="A37" s="58"/>
      <c r="B37" s="62" t="str">
        <f t="shared" si="0"/>
        <v>ROTS0003-02</v>
      </c>
      <c r="C37" s="63">
        <f t="shared" si="1"/>
        <v>57</v>
      </c>
      <c r="D37" s="59"/>
      <c r="E37" s="61"/>
      <c r="F37" s="64"/>
      <c r="G37" s="114"/>
      <c r="H37" s="115"/>
    </row>
    <row r="38" spans="1:8" ht="12.75" x14ac:dyDescent="0.2">
      <c r="A38" s="58"/>
      <c r="B38" s="62" t="str">
        <f t="shared" si="0"/>
        <v>ROTS0007-01</v>
      </c>
      <c r="C38" s="63">
        <f t="shared" si="1"/>
        <v>31</v>
      </c>
      <c r="D38" s="59"/>
      <c r="E38" s="61"/>
      <c r="F38" s="64"/>
      <c r="G38" s="114"/>
      <c r="H38" s="115"/>
    </row>
    <row r="39" spans="1:8" ht="12.75" x14ac:dyDescent="0.2">
      <c r="A39" s="58"/>
      <c r="B39" s="62" t="str">
        <f t="shared" si="0"/>
        <v>ROTS0008-02</v>
      </c>
      <c r="C39" s="63">
        <f t="shared" si="1"/>
        <v>1</v>
      </c>
      <c r="D39" s="59"/>
      <c r="E39" s="61"/>
      <c r="F39" s="64"/>
      <c r="G39" s="114"/>
      <c r="H39" s="115"/>
    </row>
    <row r="40" spans="1:8" ht="12.75" x14ac:dyDescent="0.2">
      <c r="A40" s="58"/>
      <c r="B40" s="62" t="str">
        <f t="shared" si="0"/>
        <v>ROTS0008-03</v>
      </c>
      <c r="C40" s="63">
        <f t="shared" si="1"/>
        <v>4</v>
      </c>
      <c r="D40" s="59"/>
      <c r="E40" s="61"/>
      <c r="F40" s="64"/>
      <c r="G40" s="114"/>
      <c r="H40" s="115"/>
    </row>
    <row r="41" spans="1:8" ht="12.75" x14ac:dyDescent="0.2">
      <c r="A41" s="58"/>
      <c r="B41" s="62" t="str">
        <f t="shared" si="0"/>
        <v>ROTS0010-02</v>
      </c>
      <c r="C41" s="63">
        <f t="shared" si="1"/>
        <v>7</v>
      </c>
      <c r="D41" s="59"/>
      <c r="E41" s="61"/>
      <c r="F41" s="64"/>
      <c r="G41" s="114"/>
      <c r="H41" s="115"/>
    </row>
    <row r="42" spans="1:8" ht="12.75" x14ac:dyDescent="0.2">
      <c r="A42" s="58"/>
      <c r="B42" s="62" t="str">
        <f t="shared" si="0"/>
        <v>ROTS0012-01</v>
      </c>
      <c r="C42" s="63">
        <f t="shared" si="1"/>
        <v>51</v>
      </c>
      <c r="D42" s="59"/>
      <c r="E42" s="61"/>
      <c r="F42" s="64"/>
      <c r="G42" s="114"/>
      <c r="H42" s="115"/>
    </row>
    <row r="43" spans="1:8" ht="12.75" x14ac:dyDescent="0.2">
      <c r="A43" s="58"/>
      <c r="B43" s="62" t="str">
        <f t="shared" si="0"/>
        <v>ROTS0012-02</v>
      </c>
      <c r="C43" s="63">
        <f t="shared" si="1"/>
        <v>33</v>
      </c>
      <c r="D43" s="59"/>
      <c r="E43" s="61"/>
      <c r="F43" s="64"/>
      <c r="G43" s="114"/>
      <c r="H43" s="115"/>
    </row>
    <row r="44" spans="1:8" ht="12.75" x14ac:dyDescent="0.2">
      <c r="A44" s="58"/>
      <c r="B44" s="62" t="str">
        <f t="shared" si="0"/>
        <v>ROTS0012-03</v>
      </c>
      <c r="C44" s="63">
        <f t="shared" si="1"/>
        <v>7</v>
      </c>
      <c r="D44" s="59"/>
      <c r="E44" s="61"/>
      <c r="F44" s="64"/>
      <c r="G44" s="114"/>
      <c r="H44" s="115"/>
    </row>
    <row r="45" spans="1:8" ht="12.75" x14ac:dyDescent="0.2">
      <c r="A45" s="58"/>
      <c r="B45" s="62" t="str">
        <f t="shared" si="0"/>
        <v>ROTS0014-02</v>
      </c>
      <c r="C45" s="63">
        <f t="shared" si="1"/>
        <v>31</v>
      </c>
      <c r="D45" s="59"/>
      <c r="E45" s="61"/>
      <c r="F45" s="64"/>
      <c r="G45" s="114"/>
      <c r="H45" s="115"/>
    </row>
    <row r="46" spans="1:8" ht="12.75" x14ac:dyDescent="0.2">
      <c r="A46" s="58"/>
      <c r="B46" s="62" t="str">
        <f t="shared" si="0"/>
        <v>ROTS0016-02</v>
      </c>
      <c r="C46" s="63">
        <f t="shared" si="1"/>
        <v>53</v>
      </c>
      <c r="D46" s="59"/>
      <c r="E46" s="61"/>
      <c r="F46" s="64"/>
      <c r="G46" s="114"/>
      <c r="H46" s="115"/>
    </row>
    <row r="47" spans="1:8" ht="12.75" x14ac:dyDescent="0.2">
      <c r="A47" s="58"/>
      <c r="B47" s="62" t="str">
        <f t="shared" si="0"/>
        <v>ROTS0019-01</v>
      </c>
      <c r="C47" s="63">
        <f t="shared" si="1"/>
        <v>9</v>
      </c>
      <c r="D47" s="59"/>
      <c r="E47" s="61"/>
      <c r="F47" s="64"/>
      <c r="G47" s="114"/>
      <c r="H47" s="115"/>
    </row>
    <row r="48" spans="1:8" ht="12.75" x14ac:dyDescent="0.2">
      <c r="A48" s="58"/>
      <c r="B48" s="62" t="str">
        <f t="shared" si="0"/>
        <v>ROTS0037-01</v>
      </c>
      <c r="C48" s="63">
        <f t="shared" si="1"/>
        <v>29</v>
      </c>
      <c r="D48" s="59"/>
      <c r="E48" s="61"/>
      <c r="F48" s="64"/>
      <c r="G48" s="114"/>
      <c r="H48" s="115"/>
    </row>
    <row r="49" spans="1:8" ht="12.75" x14ac:dyDescent="0.2">
      <c r="A49" s="58"/>
      <c r="B49" s="62" t="str">
        <f t="shared" si="0"/>
        <v>ROTS0038-01</v>
      </c>
      <c r="C49" s="63">
        <f t="shared" si="1"/>
        <v>42</v>
      </c>
      <c r="D49" s="59"/>
      <c r="E49" s="61"/>
      <c r="F49" s="64"/>
      <c r="G49" s="114"/>
      <c r="H49" s="115"/>
    </row>
    <row r="50" spans="1:8" ht="12.75" x14ac:dyDescent="0.2">
      <c r="A50" s="58"/>
      <c r="B50" s="62" t="str">
        <f t="shared" si="0"/>
        <v>ROTS0040-02</v>
      </c>
      <c r="C50" s="63">
        <f t="shared" si="1"/>
        <v>5</v>
      </c>
      <c r="D50" s="59"/>
      <c r="E50" s="61"/>
      <c r="F50" s="64"/>
      <c r="G50" s="114"/>
      <c r="H50" s="115"/>
    </row>
    <row r="51" spans="1:8" ht="12.75" x14ac:dyDescent="0.2">
      <c r="A51" s="58"/>
      <c r="B51" s="62" t="str">
        <f t="shared" si="0"/>
        <v>ROTS0065-01</v>
      </c>
      <c r="C51" s="63">
        <f t="shared" si="1"/>
        <v>42</v>
      </c>
      <c r="D51" s="59"/>
      <c r="E51" s="61"/>
      <c r="F51" s="64"/>
      <c r="G51" s="114"/>
      <c r="H51" s="115"/>
    </row>
    <row r="52" spans="1:8" ht="12.75" x14ac:dyDescent="0.2">
      <c r="A52" s="58"/>
      <c r="B52" s="62" t="str">
        <f t="shared" si="0"/>
        <v>ROTS0068-02</v>
      </c>
      <c r="C52" s="63">
        <f t="shared" si="1"/>
        <v>26</v>
      </c>
      <c r="D52" s="59"/>
      <c r="E52" s="61"/>
      <c r="F52" s="64"/>
      <c r="G52" s="114"/>
      <c r="H52" s="115"/>
    </row>
    <row r="53" spans="1:8" ht="12.75" x14ac:dyDescent="0.2">
      <c r="A53" s="58"/>
      <c r="B53" s="62" t="str">
        <f t="shared" si="0"/>
        <v>ROTS0070-01</v>
      </c>
      <c r="C53" s="63">
        <f t="shared" si="1"/>
        <v>21</v>
      </c>
      <c r="D53" s="59"/>
      <c r="E53" s="61"/>
      <c r="F53" s="64"/>
      <c r="G53" s="114"/>
      <c r="H53" s="115"/>
    </row>
    <row r="54" spans="1:8" ht="12.75" x14ac:dyDescent="0.2">
      <c r="A54" s="58"/>
      <c r="B54" s="62" t="str">
        <f t="shared" si="0"/>
        <v>ROTS0071-02</v>
      </c>
      <c r="C54" s="63">
        <f t="shared" si="1"/>
        <v>6</v>
      </c>
      <c r="D54" s="59"/>
      <c r="E54" s="61"/>
      <c r="F54" s="64"/>
      <c r="G54" s="114"/>
      <c r="H54" s="115"/>
    </row>
    <row r="55" spans="1:8" ht="12.75" x14ac:dyDescent="0.2">
      <c r="A55" s="58"/>
      <c r="B55" s="62" t="str">
        <f t="shared" si="0"/>
        <v>ROTS0079-03</v>
      </c>
      <c r="C55" s="63">
        <f t="shared" si="1"/>
        <v>2</v>
      </c>
      <c r="D55" s="59"/>
      <c r="E55" s="61"/>
      <c r="F55" s="64"/>
      <c r="G55" s="114"/>
      <c r="H55" s="115"/>
    </row>
    <row r="56" spans="1:8" ht="12.75" x14ac:dyDescent="0.2">
      <c r="A56" s="58"/>
      <c r="B56" s="62" t="str">
        <f t="shared" si="0"/>
        <v>ROTS0090-01</v>
      </c>
      <c r="C56" s="63">
        <f t="shared" si="1"/>
        <v>9</v>
      </c>
      <c r="D56" s="59"/>
      <c r="E56" s="61"/>
      <c r="F56" s="64"/>
      <c r="G56" s="114"/>
      <c r="H56" s="115"/>
    </row>
    <row r="57" spans="1:8" ht="12.75" x14ac:dyDescent="0.2">
      <c r="A57" s="58"/>
      <c r="B57" s="62" t="str">
        <f t="shared" si="0"/>
        <v>ROTS0091-01</v>
      </c>
      <c r="C57" s="63">
        <f t="shared" si="1"/>
        <v>2</v>
      </c>
      <c r="D57" s="59"/>
      <c r="E57" s="61"/>
      <c r="F57" s="64"/>
      <c r="G57" s="114"/>
      <c r="H57" s="115"/>
    </row>
    <row r="58" spans="1:8" ht="12.75" x14ac:dyDescent="0.2">
      <c r="A58" s="58"/>
      <c r="B58" s="62" t="str">
        <f t="shared" si="0"/>
        <v>ROTS0109-01</v>
      </c>
      <c r="C58" s="63">
        <f t="shared" si="1"/>
        <v>2</v>
      </c>
      <c r="D58" s="59"/>
      <c r="E58" s="61"/>
      <c r="F58" s="64"/>
      <c r="G58" s="114"/>
      <c r="H58" s="115"/>
    </row>
    <row r="59" spans="1:8" ht="12.75" x14ac:dyDescent="0.2">
      <c r="A59" s="58"/>
      <c r="B59" s="62" t="str">
        <f t="shared" si="0"/>
        <v>ROTS0111-01</v>
      </c>
      <c r="C59" s="63">
        <f t="shared" si="1"/>
        <v>4</v>
      </c>
      <c r="D59" s="59"/>
      <c r="E59" s="61"/>
      <c r="F59" s="64"/>
      <c r="G59" s="114"/>
      <c r="H59" s="115"/>
    </row>
    <row r="60" spans="1:8" ht="12.75" x14ac:dyDescent="0.2">
      <c r="A60" s="58"/>
      <c r="B60" s="62" t="str">
        <f t="shared" si="0"/>
        <v>ROTS0112-01</v>
      </c>
      <c r="C60" s="63">
        <f t="shared" si="1"/>
        <v>3</v>
      </c>
      <c r="D60" s="59"/>
      <c r="E60" s="61"/>
      <c r="F60" s="64"/>
      <c r="G60" s="114"/>
      <c r="H60" s="115"/>
    </row>
    <row r="61" spans="1:8" ht="13.5" thickBot="1" x14ac:dyDescent="0.25">
      <c r="A61" s="58"/>
      <c r="B61" s="71"/>
      <c r="C61" s="72"/>
      <c r="D61" s="59"/>
      <c r="E61" s="61"/>
      <c r="F61" s="64"/>
      <c r="G61" s="114"/>
      <c r="H61" s="115"/>
    </row>
    <row r="62" spans="1:8" s="78" customFormat="1" ht="12.75" x14ac:dyDescent="0.2">
      <c r="A62" s="73"/>
      <c r="B62" s="10"/>
      <c r="C62" s="10"/>
      <c r="D62" s="74"/>
      <c r="E62" s="75"/>
      <c r="F62" s="76" t="s">
        <v>37</v>
      </c>
      <c r="G62" s="116"/>
      <c r="H62" s="117"/>
    </row>
    <row r="63" spans="1:8" ht="11.25" customHeight="1" x14ac:dyDescent="0.2">
      <c r="A63" s="201" t="s">
        <v>38</v>
      </c>
      <c r="B63" s="202"/>
      <c r="C63" s="202"/>
      <c r="D63" s="202"/>
      <c r="E63" s="203"/>
      <c r="F63" s="190"/>
      <c r="G63" s="191"/>
      <c r="H63" s="115"/>
    </row>
    <row r="64" spans="1:8" s="81" customFormat="1" ht="28.5" customHeight="1" x14ac:dyDescent="0.2">
      <c r="A64" s="187"/>
      <c r="B64" s="188"/>
      <c r="C64" s="188"/>
      <c r="D64" s="188"/>
      <c r="E64" s="189"/>
      <c r="F64" s="190" t="s">
        <v>39</v>
      </c>
      <c r="G64" s="191"/>
      <c r="H64" s="118" t="s">
        <v>40</v>
      </c>
    </row>
    <row r="65" spans="1:8" s="81" customFormat="1" ht="54" customHeight="1" x14ac:dyDescent="0.2">
      <c r="A65" s="79"/>
      <c r="B65" s="192" t="s">
        <v>41</v>
      </c>
      <c r="C65" s="192"/>
      <c r="D65" s="192"/>
      <c r="E65" s="80"/>
      <c r="F65" s="193" t="s">
        <v>42</v>
      </c>
      <c r="G65" s="194"/>
      <c r="H65" s="118" t="s">
        <v>43</v>
      </c>
    </row>
    <row r="66" spans="1:8" s="81" customFormat="1" ht="13.5" thickBot="1" x14ac:dyDescent="0.25">
      <c r="A66" s="82"/>
      <c r="B66" s="83"/>
      <c r="C66" s="83"/>
      <c r="D66" s="84"/>
      <c r="E66" s="85"/>
      <c r="F66" s="86"/>
      <c r="G66" s="119"/>
      <c r="H66" s="120"/>
    </row>
  </sheetData>
  <mergeCells count="18">
    <mergeCell ref="H34:H35"/>
    <mergeCell ref="A63:E63"/>
    <mergeCell ref="F63:G63"/>
    <mergeCell ref="A2:H2"/>
    <mergeCell ref="A3:E3"/>
    <mergeCell ref="B4:C4"/>
    <mergeCell ref="A5:F5"/>
    <mergeCell ref="G5:H5"/>
    <mergeCell ref="B33:C33"/>
    <mergeCell ref="F33:H33"/>
    <mergeCell ref="A64:E64"/>
    <mergeCell ref="F64:G64"/>
    <mergeCell ref="B65:D65"/>
    <mergeCell ref="F65:G65"/>
    <mergeCell ref="B34:B35"/>
    <mergeCell ref="C34:C35"/>
    <mergeCell ref="F34:F35"/>
    <mergeCell ref="G34:G35"/>
  </mergeCells>
  <phoneticPr fontId="19" type="noConversion"/>
  <pageMargins left="0.25" right="0.25" top="0.75" bottom="0.75" header="0.3" footer="0.3"/>
  <pageSetup scale="7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0500-346B-44FE-9DCB-9AA52483850D}">
  <sheetPr>
    <pageSetUpPr fitToPage="1"/>
  </sheetPr>
  <dimension ref="A1:H57"/>
  <sheetViews>
    <sheetView view="pageBreakPreview" topLeftCell="A7" zoomScale="60" zoomScaleNormal="80" workbookViewId="0">
      <selection activeCell="J9" sqref="J9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1.71093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5.28515625" style="122" customWidth="1"/>
    <col min="9" max="9" width="2.42578125" style="7" customWidth="1"/>
    <col min="10" max="10" width="9" style="7"/>
    <col min="11" max="12" width="10.85546875" style="7" bestFit="1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106" t="s">
        <v>3</v>
      </c>
      <c r="H3" s="107" t="s">
        <v>347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>
        <v>45900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8" ht="48.75" customHeight="1" x14ac:dyDescent="0.2">
      <c r="A7" s="23" t="s">
        <v>348</v>
      </c>
      <c r="B7" s="24" t="s">
        <v>349</v>
      </c>
      <c r="C7" s="19" t="s">
        <v>22</v>
      </c>
      <c r="D7" s="25" t="s">
        <v>45</v>
      </c>
      <c r="E7" s="21" t="s">
        <v>54</v>
      </c>
      <c r="F7" s="26">
        <v>15</v>
      </c>
      <c r="G7" s="110">
        <v>403.68</v>
      </c>
      <c r="H7" s="123">
        <f>F7*G7</f>
        <v>6055.2</v>
      </c>
    </row>
    <row r="8" spans="1:8" ht="31.5" customHeight="1" x14ac:dyDescent="0.2">
      <c r="A8" s="43" t="s">
        <v>350</v>
      </c>
      <c r="B8" s="24" t="s">
        <v>351</v>
      </c>
      <c r="C8" s="19" t="s">
        <v>288</v>
      </c>
      <c r="D8" s="20" t="s">
        <v>232</v>
      </c>
      <c r="E8" s="21" t="s">
        <v>19</v>
      </c>
      <c r="F8" s="26">
        <v>4</v>
      </c>
      <c r="G8" s="110">
        <v>55.62</v>
      </c>
      <c r="H8" s="123">
        <f t="shared" ref="H8:H26" si="0">F8*G8</f>
        <v>222.48</v>
      </c>
    </row>
    <row r="9" spans="1:8" ht="39.75" customHeight="1" x14ac:dyDescent="0.2">
      <c r="A9" s="43" t="s">
        <v>352</v>
      </c>
      <c r="B9" s="24" t="s">
        <v>353</v>
      </c>
      <c r="C9" s="19" t="s">
        <v>68</v>
      </c>
      <c r="D9" s="20" t="s">
        <v>133</v>
      </c>
      <c r="E9" s="21" t="s">
        <v>27</v>
      </c>
      <c r="F9" s="26">
        <v>6</v>
      </c>
      <c r="G9" s="110">
        <v>660</v>
      </c>
      <c r="H9" s="123">
        <f t="shared" si="0"/>
        <v>3960</v>
      </c>
    </row>
    <row r="10" spans="1:8" ht="39.75" customHeight="1" x14ac:dyDescent="0.2">
      <c r="A10" s="43" t="s">
        <v>354</v>
      </c>
      <c r="B10" s="24" t="s">
        <v>137</v>
      </c>
      <c r="C10" s="19" t="s">
        <v>24</v>
      </c>
      <c r="D10" s="20" t="s">
        <v>136</v>
      </c>
      <c r="E10" s="21" t="s">
        <v>54</v>
      </c>
      <c r="F10" s="26">
        <v>2</v>
      </c>
      <c r="G10" s="110">
        <v>235</v>
      </c>
      <c r="H10" s="123">
        <f t="shared" si="0"/>
        <v>470</v>
      </c>
    </row>
    <row r="11" spans="1:8" ht="39" customHeight="1" x14ac:dyDescent="0.2">
      <c r="A11" s="43" t="s">
        <v>354</v>
      </c>
      <c r="B11" s="24" t="s">
        <v>137</v>
      </c>
      <c r="C11" s="19" t="s">
        <v>138</v>
      </c>
      <c r="D11" s="20" t="s">
        <v>355</v>
      </c>
      <c r="E11" s="21" t="s">
        <v>356</v>
      </c>
      <c r="F11" s="26">
        <v>2</v>
      </c>
      <c r="G11" s="110">
        <v>295</v>
      </c>
      <c r="H11" s="123">
        <f t="shared" si="0"/>
        <v>590</v>
      </c>
    </row>
    <row r="12" spans="1:8" ht="32.25" customHeight="1" x14ac:dyDescent="0.2">
      <c r="A12" s="43" t="s">
        <v>354</v>
      </c>
      <c r="B12" s="24" t="s">
        <v>140</v>
      </c>
      <c r="C12" s="19" t="s">
        <v>77</v>
      </c>
      <c r="D12" s="20" t="s">
        <v>194</v>
      </c>
      <c r="E12" s="21" t="s">
        <v>21</v>
      </c>
      <c r="F12" s="26">
        <v>1</v>
      </c>
      <c r="G12" s="110">
        <v>122</v>
      </c>
      <c r="H12" s="123">
        <f t="shared" si="0"/>
        <v>122</v>
      </c>
    </row>
    <row r="13" spans="1:8" ht="30" customHeight="1" x14ac:dyDescent="0.2">
      <c r="A13" s="43" t="s">
        <v>357</v>
      </c>
      <c r="B13" s="24" t="s">
        <v>64</v>
      </c>
      <c r="C13" s="19" t="s">
        <v>80</v>
      </c>
      <c r="D13" s="20" t="s">
        <v>81</v>
      </c>
      <c r="E13" s="21" t="s">
        <v>20</v>
      </c>
      <c r="F13" s="26">
        <v>5</v>
      </c>
      <c r="G13" s="110">
        <v>25</v>
      </c>
      <c r="H13" s="123">
        <f t="shared" si="0"/>
        <v>125</v>
      </c>
    </row>
    <row r="14" spans="1:8" ht="36" customHeight="1" x14ac:dyDescent="0.2">
      <c r="A14" s="43" t="s">
        <v>354</v>
      </c>
      <c r="B14" s="24" t="s">
        <v>143</v>
      </c>
      <c r="C14" s="19" t="s">
        <v>50</v>
      </c>
      <c r="D14" s="20" t="s">
        <v>51</v>
      </c>
      <c r="E14" s="21" t="s">
        <v>20</v>
      </c>
      <c r="F14" s="26">
        <v>10</v>
      </c>
      <c r="G14" s="110">
        <v>139.09</v>
      </c>
      <c r="H14" s="123">
        <f t="shared" si="0"/>
        <v>1390.9</v>
      </c>
    </row>
    <row r="15" spans="1:8" ht="36" customHeight="1" x14ac:dyDescent="0.2">
      <c r="A15" s="43" t="s">
        <v>359</v>
      </c>
      <c r="B15" s="24" t="s">
        <v>358</v>
      </c>
      <c r="C15" s="19" t="s">
        <v>52</v>
      </c>
      <c r="D15" s="20" t="s">
        <v>208</v>
      </c>
      <c r="E15" s="21" t="s">
        <v>18</v>
      </c>
      <c r="F15" s="26">
        <v>3</v>
      </c>
      <c r="G15" s="110">
        <v>90</v>
      </c>
      <c r="H15" s="123">
        <f t="shared" si="0"/>
        <v>270</v>
      </c>
    </row>
    <row r="16" spans="1:8" ht="39.75" customHeight="1" x14ac:dyDescent="0.2">
      <c r="A16" s="43" t="s">
        <v>361</v>
      </c>
      <c r="B16" s="24" t="s">
        <v>362</v>
      </c>
      <c r="C16" s="19" t="s">
        <v>25</v>
      </c>
      <c r="D16" s="20" t="s">
        <v>360</v>
      </c>
      <c r="E16" s="21" t="s">
        <v>21</v>
      </c>
      <c r="F16" s="26">
        <v>15</v>
      </c>
      <c r="G16" s="110">
        <v>101.23</v>
      </c>
      <c r="H16" s="123">
        <f t="shared" si="0"/>
        <v>1518.45</v>
      </c>
    </row>
    <row r="17" spans="1:8" ht="36" customHeight="1" x14ac:dyDescent="0.2">
      <c r="A17" s="43" t="s">
        <v>364</v>
      </c>
      <c r="B17" s="24" t="s">
        <v>365</v>
      </c>
      <c r="C17" s="19" t="s">
        <v>47</v>
      </c>
      <c r="D17" s="20" t="s">
        <v>363</v>
      </c>
      <c r="E17" s="21" t="s">
        <v>18</v>
      </c>
      <c r="F17" s="26">
        <v>2</v>
      </c>
      <c r="G17" s="110">
        <v>43.03</v>
      </c>
      <c r="H17" s="123">
        <f>F17*G17</f>
        <v>86.06</v>
      </c>
    </row>
    <row r="18" spans="1:8" ht="39.75" customHeight="1" x14ac:dyDescent="0.2">
      <c r="A18" s="43" t="s">
        <v>354</v>
      </c>
      <c r="B18" s="24" t="s">
        <v>264</v>
      </c>
      <c r="C18" s="19" t="s">
        <v>150</v>
      </c>
      <c r="D18" s="20" t="s">
        <v>212</v>
      </c>
      <c r="E18" s="21" t="s">
        <v>18</v>
      </c>
      <c r="F18" s="26">
        <v>6</v>
      </c>
      <c r="G18" s="110">
        <v>130</v>
      </c>
      <c r="H18" s="123">
        <f t="shared" si="0"/>
        <v>780</v>
      </c>
    </row>
    <row r="19" spans="1:8" ht="39.75" customHeight="1" x14ac:dyDescent="0.2">
      <c r="A19" s="43" t="s">
        <v>366</v>
      </c>
      <c r="B19" s="24" t="s">
        <v>367</v>
      </c>
      <c r="C19" s="19" t="s">
        <v>28</v>
      </c>
      <c r="D19" s="20" t="s">
        <v>157</v>
      </c>
      <c r="E19" s="21" t="s">
        <v>27</v>
      </c>
      <c r="F19" s="26">
        <v>4</v>
      </c>
      <c r="G19" s="110">
        <v>121.71</v>
      </c>
      <c r="H19" s="123">
        <f t="shared" si="0"/>
        <v>486.84</v>
      </c>
    </row>
    <row r="20" spans="1:8" ht="29.25" customHeight="1" x14ac:dyDescent="0.2">
      <c r="A20" s="43" t="s">
        <v>359</v>
      </c>
      <c r="B20" s="35" t="s">
        <v>369</v>
      </c>
      <c r="C20" s="31" t="s">
        <v>103</v>
      </c>
      <c r="D20" s="25" t="s">
        <v>368</v>
      </c>
      <c r="E20" s="32" t="s">
        <v>18</v>
      </c>
      <c r="F20" s="26">
        <v>2</v>
      </c>
      <c r="G20" s="110">
        <v>68</v>
      </c>
      <c r="H20" s="123">
        <f t="shared" si="0"/>
        <v>136</v>
      </c>
    </row>
    <row r="21" spans="1:8" ht="29.25" customHeight="1" x14ac:dyDescent="0.2">
      <c r="A21" s="43" t="s">
        <v>354</v>
      </c>
      <c r="B21" s="35" t="s">
        <v>370</v>
      </c>
      <c r="C21" s="31" t="s">
        <v>166</v>
      </c>
      <c r="D21" s="25" t="s">
        <v>199</v>
      </c>
      <c r="E21" s="32" t="s">
        <v>18</v>
      </c>
      <c r="F21" s="26">
        <v>12</v>
      </c>
      <c r="G21" s="110">
        <v>70</v>
      </c>
      <c r="H21" s="123">
        <f t="shared" si="0"/>
        <v>840</v>
      </c>
    </row>
    <row r="22" spans="1:8" ht="29.25" customHeight="1" x14ac:dyDescent="0.2">
      <c r="A22" s="43" t="s">
        <v>366</v>
      </c>
      <c r="B22" s="35" t="s">
        <v>371</v>
      </c>
      <c r="C22" s="31" t="s">
        <v>115</v>
      </c>
      <c r="D22" s="25" t="s">
        <v>222</v>
      </c>
      <c r="E22" s="32" t="s">
        <v>27</v>
      </c>
      <c r="F22" s="26">
        <v>5</v>
      </c>
      <c r="G22" s="110">
        <v>520</v>
      </c>
      <c r="H22" s="123">
        <f t="shared" si="0"/>
        <v>2600</v>
      </c>
    </row>
    <row r="23" spans="1:8" ht="29.25" customHeight="1" x14ac:dyDescent="0.2">
      <c r="A23" s="43" t="s">
        <v>354</v>
      </c>
      <c r="B23" s="35" t="s">
        <v>264</v>
      </c>
      <c r="C23" s="31" t="s">
        <v>31</v>
      </c>
      <c r="D23" s="25" t="s">
        <v>325</v>
      </c>
      <c r="E23" s="32" t="s">
        <v>19</v>
      </c>
      <c r="F23" s="26">
        <v>6</v>
      </c>
      <c r="G23" s="110">
        <v>83.2</v>
      </c>
      <c r="H23" s="123">
        <f t="shared" si="0"/>
        <v>499.20000000000005</v>
      </c>
    </row>
    <row r="24" spans="1:8" ht="29.25" customHeight="1" x14ac:dyDescent="0.2">
      <c r="A24" s="43" t="s">
        <v>354</v>
      </c>
      <c r="B24" s="35" t="s">
        <v>140</v>
      </c>
      <c r="C24" s="31" t="s">
        <v>113</v>
      </c>
      <c r="D24" s="25" t="s">
        <v>372</v>
      </c>
      <c r="E24" s="32" t="s">
        <v>272</v>
      </c>
      <c r="F24" s="26">
        <v>1</v>
      </c>
      <c r="G24" s="110">
        <v>130</v>
      </c>
      <c r="H24" s="123">
        <f t="shared" si="0"/>
        <v>130</v>
      </c>
    </row>
    <row r="25" spans="1:8" ht="29.25" customHeight="1" x14ac:dyDescent="0.2">
      <c r="A25" s="43" t="s">
        <v>354</v>
      </c>
      <c r="B25" s="35" t="s">
        <v>137</v>
      </c>
      <c r="C25" s="31" t="s">
        <v>339</v>
      </c>
      <c r="D25" s="25" t="s">
        <v>340</v>
      </c>
      <c r="E25" s="32" t="s">
        <v>19</v>
      </c>
      <c r="F25" s="26">
        <v>2</v>
      </c>
      <c r="G25" s="110">
        <v>600</v>
      </c>
      <c r="H25" s="123">
        <f t="shared" si="0"/>
        <v>1200</v>
      </c>
    </row>
    <row r="26" spans="1:8" ht="30" customHeight="1" x14ac:dyDescent="0.2">
      <c r="A26" s="43" t="s">
        <v>354</v>
      </c>
      <c r="B26" s="35" t="s">
        <v>264</v>
      </c>
      <c r="C26" s="31" t="s">
        <v>284</v>
      </c>
      <c r="D26" s="25" t="s">
        <v>285</v>
      </c>
      <c r="E26" s="32" t="s">
        <v>27</v>
      </c>
      <c r="F26" s="26">
        <v>6</v>
      </c>
      <c r="G26" s="110">
        <v>41.6</v>
      </c>
      <c r="H26" s="123">
        <f t="shared" si="0"/>
        <v>249.60000000000002</v>
      </c>
    </row>
    <row r="27" spans="1:8" ht="14.25" customHeight="1" x14ac:dyDescent="0.2">
      <c r="A27" s="43"/>
      <c r="B27" s="35"/>
      <c r="C27" s="31"/>
      <c r="D27" s="25"/>
      <c r="E27" s="32"/>
      <c r="F27" s="26"/>
      <c r="G27" s="110"/>
      <c r="H27" s="123"/>
    </row>
    <row r="28" spans="1:8" ht="20.25" customHeight="1" thickBot="1" x14ac:dyDescent="0.25">
      <c r="A28" s="180"/>
      <c r="B28" s="135"/>
      <c r="C28" s="136"/>
      <c r="D28" s="181"/>
      <c r="E28" s="56"/>
      <c r="F28" s="56"/>
      <c r="G28" s="182" t="s">
        <v>35</v>
      </c>
      <c r="H28" s="138">
        <f>SUM(H7:H26)</f>
        <v>21731.73</v>
      </c>
    </row>
    <row r="29" spans="1:8" ht="13.5" thickBot="1" x14ac:dyDescent="0.25">
      <c r="A29" s="58"/>
      <c r="B29" s="213"/>
      <c r="C29" s="214"/>
      <c r="D29" s="59"/>
      <c r="E29" s="60"/>
      <c r="F29" s="213" t="s">
        <v>33</v>
      </c>
      <c r="G29" s="215"/>
      <c r="H29" s="214"/>
    </row>
    <row r="30" spans="1:8" ht="12.75" x14ac:dyDescent="0.2">
      <c r="A30" s="58"/>
      <c r="B30" s="195" t="s">
        <v>11</v>
      </c>
      <c r="C30" s="195" t="s">
        <v>34</v>
      </c>
      <c r="D30" s="59"/>
      <c r="E30" s="61"/>
      <c r="F30" s="195" t="s">
        <v>15</v>
      </c>
      <c r="G30" s="197" t="s">
        <v>35</v>
      </c>
      <c r="H30" s="199" t="s">
        <v>36</v>
      </c>
    </row>
    <row r="31" spans="1:8" ht="13.5" thickBot="1" x14ac:dyDescent="0.25">
      <c r="A31" s="58"/>
      <c r="B31" s="196"/>
      <c r="C31" s="196"/>
      <c r="D31" s="59"/>
      <c r="E31" s="61"/>
      <c r="F31" s="196"/>
      <c r="G31" s="198"/>
      <c r="H31" s="200"/>
    </row>
    <row r="32" spans="1:8" ht="12.75" x14ac:dyDescent="0.2">
      <c r="A32" s="58"/>
      <c r="B32" s="124" t="str">
        <f>C7</f>
        <v>ROTS0003-01</v>
      </c>
      <c r="C32" s="125">
        <f>F7</f>
        <v>15</v>
      </c>
      <c r="D32" s="59"/>
      <c r="E32" s="61"/>
      <c r="F32" s="64"/>
      <c r="G32" s="114"/>
      <c r="H32" s="115"/>
    </row>
    <row r="33" spans="1:8" ht="12.75" x14ac:dyDescent="0.2">
      <c r="A33" s="58"/>
      <c r="B33" s="62" t="str">
        <f>C8</f>
        <v>ROTS0003-02</v>
      </c>
      <c r="C33" s="183">
        <f>F8</f>
        <v>4</v>
      </c>
      <c r="D33" s="59"/>
      <c r="E33" s="61"/>
      <c r="F33" s="64"/>
      <c r="G33" s="114"/>
      <c r="H33" s="115"/>
    </row>
    <row r="34" spans="1:8" ht="12.75" x14ac:dyDescent="0.2">
      <c r="A34" s="58"/>
      <c r="B34" s="62" t="str">
        <f t="shared" ref="B34:B51" si="1">C9</f>
        <v>ROTS0007-01</v>
      </c>
      <c r="C34" s="183">
        <f t="shared" ref="C34:C51" si="2">F9</f>
        <v>6</v>
      </c>
      <c r="D34" s="59"/>
      <c r="E34" s="61"/>
      <c r="F34" s="64"/>
      <c r="G34" s="114"/>
      <c r="H34" s="115"/>
    </row>
    <row r="35" spans="1:8" ht="12.75" x14ac:dyDescent="0.2">
      <c r="A35" s="58"/>
      <c r="B35" s="62" t="str">
        <f t="shared" si="1"/>
        <v>ROTS0008-02</v>
      </c>
      <c r="C35" s="183">
        <f t="shared" si="2"/>
        <v>2</v>
      </c>
      <c r="D35" s="59"/>
      <c r="E35" s="61"/>
      <c r="F35" s="64"/>
      <c r="G35" s="114"/>
      <c r="H35" s="115"/>
    </row>
    <row r="36" spans="1:8" ht="12.75" x14ac:dyDescent="0.2">
      <c r="A36" s="58"/>
      <c r="B36" s="62" t="str">
        <f t="shared" si="1"/>
        <v>ROTS0008-03</v>
      </c>
      <c r="C36" s="183">
        <f t="shared" si="2"/>
        <v>2</v>
      </c>
      <c r="D36" s="59"/>
      <c r="E36" s="61"/>
      <c r="F36" s="64"/>
      <c r="G36" s="114"/>
      <c r="H36" s="115"/>
    </row>
    <row r="37" spans="1:8" ht="12.75" x14ac:dyDescent="0.2">
      <c r="A37" s="58"/>
      <c r="B37" s="62" t="str">
        <f t="shared" si="1"/>
        <v>ROTS0010-02</v>
      </c>
      <c r="C37" s="183">
        <f t="shared" si="2"/>
        <v>1</v>
      </c>
      <c r="D37" s="59"/>
      <c r="E37" s="61"/>
      <c r="F37" s="64"/>
      <c r="G37" s="114"/>
      <c r="H37" s="115"/>
    </row>
    <row r="38" spans="1:8" ht="12.75" x14ac:dyDescent="0.2">
      <c r="A38" s="58"/>
      <c r="B38" s="62" t="str">
        <f t="shared" si="1"/>
        <v>ROTS0012-01</v>
      </c>
      <c r="C38" s="183">
        <f t="shared" si="2"/>
        <v>5</v>
      </c>
      <c r="D38" s="59"/>
      <c r="E38" s="61"/>
      <c r="F38" s="64"/>
      <c r="G38" s="114"/>
      <c r="H38" s="115"/>
    </row>
    <row r="39" spans="1:8" ht="12.75" x14ac:dyDescent="0.2">
      <c r="A39" s="58"/>
      <c r="B39" s="62" t="str">
        <f t="shared" si="1"/>
        <v>ROTS0012-05</v>
      </c>
      <c r="C39" s="183">
        <f t="shared" si="2"/>
        <v>10</v>
      </c>
      <c r="D39" s="59"/>
      <c r="E39" s="61"/>
      <c r="F39" s="64"/>
      <c r="G39" s="114"/>
      <c r="H39" s="115"/>
    </row>
    <row r="40" spans="1:8" ht="12.75" x14ac:dyDescent="0.2">
      <c r="A40" s="58"/>
      <c r="B40" s="62" t="str">
        <f t="shared" si="1"/>
        <v>ROTS0014-02</v>
      </c>
      <c r="C40" s="183">
        <f t="shared" si="2"/>
        <v>3</v>
      </c>
      <c r="D40" s="59"/>
      <c r="E40" s="61"/>
      <c r="F40" s="64"/>
      <c r="G40" s="114"/>
      <c r="H40" s="115"/>
    </row>
    <row r="41" spans="1:8" ht="12.75" x14ac:dyDescent="0.2">
      <c r="A41" s="58"/>
      <c r="B41" s="62" t="str">
        <f t="shared" si="1"/>
        <v>ROTS0016-02</v>
      </c>
      <c r="C41" s="183">
        <f t="shared" si="2"/>
        <v>15</v>
      </c>
      <c r="D41" s="59"/>
      <c r="E41" s="61"/>
      <c r="F41" s="64"/>
      <c r="G41" s="114"/>
      <c r="H41" s="115"/>
    </row>
    <row r="42" spans="1:8" ht="12.75" x14ac:dyDescent="0.2">
      <c r="A42" s="58"/>
      <c r="B42" s="62" t="str">
        <f t="shared" si="1"/>
        <v>ROTS0017-01</v>
      </c>
      <c r="C42" s="183">
        <f t="shared" si="2"/>
        <v>2</v>
      </c>
      <c r="D42" s="59"/>
      <c r="E42" s="61"/>
      <c r="F42" s="64"/>
      <c r="G42" s="114"/>
      <c r="H42" s="115"/>
    </row>
    <row r="43" spans="1:8" ht="12.75" x14ac:dyDescent="0.2">
      <c r="A43" s="58"/>
      <c r="B43" s="62" t="str">
        <f t="shared" si="1"/>
        <v>ROTS0037-01</v>
      </c>
      <c r="C43" s="183">
        <f t="shared" si="2"/>
        <v>6</v>
      </c>
      <c r="D43" s="59"/>
      <c r="E43" s="61"/>
      <c r="F43" s="64"/>
      <c r="G43" s="114"/>
      <c r="H43" s="115"/>
    </row>
    <row r="44" spans="1:8" ht="12.75" x14ac:dyDescent="0.2">
      <c r="A44" s="58"/>
      <c r="B44" s="62" t="str">
        <f t="shared" si="1"/>
        <v>ROTS0038-01</v>
      </c>
      <c r="C44" s="183">
        <f t="shared" si="2"/>
        <v>4</v>
      </c>
      <c r="D44" s="59"/>
      <c r="E44" s="61"/>
      <c r="F44" s="64"/>
      <c r="G44" s="114"/>
      <c r="H44" s="115"/>
    </row>
    <row r="45" spans="1:8" ht="12.75" x14ac:dyDescent="0.2">
      <c r="A45" s="58"/>
      <c r="B45" s="62" t="str">
        <f t="shared" si="1"/>
        <v>ROTS0040-02</v>
      </c>
      <c r="C45" s="183">
        <f t="shared" si="2"/>
        <v>2</v>
      </c>
      <c r="D45" s="59"/>
      <c r="E45" s="61"/>
      <c r="F45" s="64"/>
      <c r="G45" s="114"/>
      <c r="H45" s="115"/>
    </row>
    <row r="46" spans="1:8" ht="12.75" x14ac:dyDescent="0.2">
      <c r="A46" s="58"/>
      <c r="B46" s="62" t="str">
        <f t="shared" si="1"/>
        <v>ROTS0065-01</v>
      </c>
      <c r="C46" s="183">
        <f t="shared" si="2"/>
        <v>12</v>
      </c>
      <c r="D46" s="59"/>
      <c r="E46" s="61"/>
      <c r="F46" s="64"/>
      <c r="G46" s="114"/>
      <c r="H46" s="115"/>
    </row>
    <row r="47" spans="1:8" ht="12.75" x14ac:dyDescent="0.2">
      <c r="A47" s="58"/>
      <c r="B47" s="62" t="str">
        <f t="shared" si="1"/>
        <v>ROTS0068-02</v>
      </c>
      <c r="C47" s="183">
        <f t="shared" si="2"/>
        <v>5</v>
      </c>
      <c r="D47" s="59"/>
      <c r="E47" s="61"/>
      <c r="F47" s="64"/>
      <c r="G47" s="114"/>
      <c r="H47" s="115"/>
    </row>
    <row r="48" spans="1:8" ht="12.75" x14ac:dyDescent="0.2">
      <c r="A48" s="58"/>
      <c r="B48" s="62" t="str">
        <f t="shared" si="1"/>
        <v>ROTS0070-01</v>
      </c>
      <c r="C48" s="183">
        <f t="shared" si="2"/>
        <v>6</v>
      </c>
      <c r="D48" s="59"/>
      <c r="E48" s="61"/>
      <c r="F48" s="64"/>
      <c r="G48" s="114"/>
      <c r="H48" s="115"/>
    </row>
    <row r="49" spans="1:8" ht="12.75" x14ac:dyDescent="0.2">
      <c r="A49" s="58"/>
      <c r="B49" s="62" t="str">
        <f t="shared" si="1"/>
        <v>ROTS0071-02</v>
      </c>
      <c r="C49" s="183">
        <f t="shared" si="2"/>
        <v>1</v>
      </c>
      <c r="D49" s="59"/>
      <c r="E49" s="61"/>
      <c r="F49" s="64"/>
      <c r="G49" s="114"/>
      <c r="H49" s="115"/>
    </row>
    <row r="50" spans="1:8" ht="12.75" x14ac:dyDescent="0.2">
      <c r="A50" s="58"/>
      <c r="B50" s="62" t="str">
        <f t="shared" si="1"/>
        <v>ROTS0111-01</v>
      </c>
      <c r="C50" s="183">
        <f t="shared" si="2"/>
        <v>2</v>
      </c>
      <c r="D50" s="59"/>
      <c r="E50" s="61"/>
      <c r="F50" s="64"/>
      <c r="G50" s="114"/>
      <c r="H50" s="115"/>
    </row>
    <row r="51" spans="1:8" ht="12.75" x14ac:dyDescent="0.2">
      <c r="A51" s="58"/>
      <c r="B51" s="62" t="str">
        <f t="shared" si="1"/>
        <v>ROTS0113-01</v>
      </c>
      <c r="C51" s="183">
        <f t="shared" si="2"/>
        <v>6</v>
      </c>
      <c r="D51" s="59"/>
      <c r="E51" s="61"/>
      <c r="F51" s="64"/>
      <c r="G51" s="114"/>
      <c r="H51" s="115"/>
    </row>
    <row r="52" spans="1:8" ht="13.5" thickBot="1" x14ac:dyDescent="0.25">
      <c r="A52" s="58"/>
      <c r="B52" s="167"/>
      <c r="C52" s="184"/>
      <c r="D52" s="59"/>
      <c r="E52" s="61"/>
      <c r="F52" s="64"/>
      <c r="G52" s="114"/>
      <c r="H52" s="115"/>
    </row>
    <row r="53" spans="1:8" s="78" customFormat="1" ht="12.75" x14ac:dyDescent="0.2">
      <c r="A53" s="73"/>
      <c r="B53" s="77"/>
      <c r="C53" s="77"/>
      <c r="D53" s="74"/>
      <c r="E53" s="75"/>
      <c r="F53" s="76" t="s">
        <v>37</v>
      </c>
      <c r="G53" s="116"/>
      <c r="H53" s="117"/>
    </row>
    <row r="54" spans="1:8" ht="11.25" customHeight="1" x14ac:dyDescent="0.2">
      <c r="A54" s="201" t="s">
        <v>38</v>
      </c>
      <c r="B54" s="202"/>
      <c r="C54" s="202"/>
      <c r="D54" s="202"/>
      <c r="E54" s="203"/>
      <c r="F54" s="190"/>
      <c r="G54" s="191"/>
      <c r="H54" s="115"/>
    </row>
    <row r="55" spans="1:8" s="81" customFormat="1" ht="28.5" customHeight="1" x14ac:dyDescent="0.2">
      <c r="A55" s="187"/>
      <c r="B55" s="188"/>
      <c r="C55" s="188"/>
      <c r="D55" s="188"/>
      <c r="E55" s="189"/>
      <c r="F55" s="190" t="s">
        <v>39</v>
      </c>
      <c r="G55" s="191"/>
      <c r="H55" s="118" t="s">
        <v>40</v>
      </c>
    </row>
    <row r="56" spans="1:8" s="81" customFormat="1" ht="61.5" customHeight="1" x14ac:dyDescent="0.2">
      <c r="A56" s="79"/>
      <c r="B56" s="192" t="s">
        <v>346</v>
      </c>
      <c r="C56" s="192"/>
      <c r="D56" s="192"/>
      <c r="E56" s="80"/>
      <c r="F56" s="193" t="s">
        <v>42</v>
      </c>
      <c r="G56" s="194"/>
      <c r="H56" s="118" t="s">
        <v>43</v>
      </c>
    </row>
    <row r="57" spans="1:8" s="81" customFormat="1" ht="13.5" thickBot="1" x14ac:dyDescent="0.25">
      <c r="A57" s="82"/>
      <c r="B57" s="83"/>
      <c r="C57" s="83"/>
      <c r="D57" s="84"/>
      <c r="E57" s="169"/>
      <c r="F57" s="86"/>
      <c r="G57" s="119"/>
      <c r="H57" s="120"/>
    </row>
  </sheetData>
  <mergeCells count="18">
    <mergeCell ref="H30:H31"/>
    <mergeCell ref="A54:E54"/>
    <mergeCell ref="F54:G54"/>
    <mergeCell ref="A2:H2"/>
    <mergeCell ref="A3:E3"/>
    <mergeCell ref="B4:C4"/>
    <mergeCell ref="A5:F5"/>
    <mergeCell ref="G5:H5"/>
    <mergeCell ref="B29:C29"/>
    <mergeCell ref="F29:H29"/>
    <mergeCell ref="A55:E55"/>
    <mergeCell ref="F55:G55"/>
    <mergeCell ref="B56:D56"/>
    <mergeCell ref="F56:G56"/>
    <mergeCell ref="B30:B31"/>
    <mergeCell ref="C30:C31"/>
    <mergeCell ref="F30:F31"/>
    <mergeCell ref="G30:G31"/>
  </mergeCells>
  <phoneticPr fontId="19" type="noConversion"/>
  <pageMargins left="0.25" right="0.25" top="0.75" bottom="0.75" header="0.3" footer="0.3"/>
  <pageSetup paperSize="9" scale="70" fitToHeight="0" orientation="portrait" r:id="rId1"/>
  <rowBreaks count="1" manualBreakCount="1">
    <brk id="40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E20B-1D3D-4C28-90B7-724860A30469}">
  <sheetPr>
    <pageSetUpPr fitToPage="1"/>
  </sheetPr>
  <dimension ref="A1:H58"/>
  <sheetViews>
    <sheetView view="pageBreakPreview" topLeftCell="A16" zoomScale="60" zoomScaleNormal="80" workbookViewId="0">
      <selection activeCell="M21" sqref="M21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1.71093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5.28515625" style="122" customWidth="1"/>
    <col min="9" max="9" width="2.42578125" style="7" customWidth="1"/>
    <col min="10" max="10" width="9" style="7"/>
    <col min="11" max="12" width="10.85546875" style="7" bestFit="1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106" t="s">
        <v>3</v>
      </c>
      <c r="H3" s="107" t="s">
        <v>373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>
        <v>45930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8" ht="87.75" customHeight="1" x14ac:dyDescent="0.2">
      <c r="A7" s="23" t="s">
        <v>374</v>
      </c>
      <c r="B7" s="24" t="s">
        <v>375</v>
      </c>
      <c r="C7" s="19" t="s">
        <v>22</v>
      </c>
      <c r="D7" s="24" t="s">
        <v>45</v>
      </c>
      <c r="E7" s="21" t="s">
        <v>54</v>
      </c>
      <c r="F7" s="26">
        <v>17</v>
      </c>
      <c r="G7" s="110"/>
      <c r="H7" s="123">
        <f>F7*G7</f>
        <v>0</v>
      </c>
    </row>
    <row r="8" spans="1:8" ht="80.25" customHeight="1" x14ac:dyDescent="0.2">
      <c r="A8" s="43" t="s">
        <v>377</v>
      </c>
      <c r="B8" s="24" t="s">
        <v>378</v>
      </c>
      <c r="C8" s="19" t="s">
        <v>288</v>
      </c>
      <c r="D8" s="24" t="s">
        <v>376</v>
      </c>
      <c r="E8" s="21" t="s">
        <v>19</v>
      </c>
      <c r="F8" s="26">
        <v>32</v>
      </c>
      <c r="G8" s="110"/>
      <c r="H8" s="123">
        <f t="shared" ref="H8:H27" si="0">F8*G8</f>
        <v>0</v>
      </c>
    </row>
    <row r="9" spans="1:8" ht="127.5" customHeight="1" x14ac:dyDescent="0.2">
      <c r="A9" s="43" t="s">
        <v>379</v>
      </c>
      <c r="B9" s="24" t="s">
        <v>380</v>
      </c>
      <c r="C9" s="19" t="s">
        <v>68</v>
      </c>
      <c r="D9" s="20" t="s">
        <v>69</v>
      </c>
      <c r="E9" s="21" t="s">
        <v>27</v>
      </c>
      <c r="F9" s="26">
        <v>23</v>
      </c>
      <c r="G9" s="110"/>
      <c r="H9" s="123">
        <f t="shared" si="0"/>
        <v>0</v>
      </c>
    </row>
    <row r="10" spans="1:8" ht="39.75" customHeight="1" x14ac:dyDescent="0.2">
      <c r="A10" s="43" t="s">
        <v>381</v>
      </c>
      <c r="B10" s="43" t="s">
        <v>296</v>
      </c>
      <c r="C10" s="19" t="s">
        <v>24</v>
      </c>
      <c r="D10" s="20" t="s">
        <v>136</v>
      </c>
      <c r="E10" s="21" t="s">
        <v>54</v>
      </c>
      <c r="F10" s="26">
        <v>1</v>
      </c>
      <c r="G10" s="110"/>
      <c r="H10" s="123">
        <f t="shared" si="0"/>
        <v>0</v>
      </c>
    </row>
    <row r="11" spans="1:8" ht="39" customHeight="1" x14ac:dyDescent="0.2">
      <c r="A11" s="43" t="s">
        <v>381</v>
      </c>
      <c r="B11" s="43" t="s">
        <v>296</v>
      </c>
      <c r="C11" s="19" t="s">
        <v>138</v>
      </c>
      <c r="D11" s="20" t="s">
        <v>139</v>
      </c>
      <c r="E11" s="21" t="s">
        <v>54</v>
      </c>
      <c r="F11" s="26">
        <v>1</v>
      </c>
      <c r="G11" s="110"/>
      <c r="H11" s="123">
        <f t="shared" si="0"/>
        <v>0</v>
      </c>
    </row>
    <row r="12" spans="1:8" ht="51" customHeight="1" x14ac:dyDescent="0.2">
      <c r="A12" s="43" t="s">
        <v>382</v>
      </c>
      <c r="B12" s="24" t="s">
        <v>383</v>
      </c>
      <c r="C12" s="19" t="s">
        <v>77</v>
      </c>
      <c r="D12" s="20" t="s">
        <v>79</v>
      </c>
      <c r="E12" s="21" t="s">
        <v>21</v>
      </c>
      <c r="F12" s="26">
        <v>4</v>
      </c>
      <c r="G12" s="110"/>
      <c r="H12" s="123">
        <f t="shared" si="0"/>
        <v>0</v>
      </c>
    </row>
    <row r="13" spans="1:8" ht="46.5" customHeight="1" x14ac:dyDescent="0.2">
      <c r="A13" s="43" t="s">
        <v>382</v>
      </c>
      <c r="B13" s="24" t="s">
        <v>384</v>
      </c>
      <c r="C13" s="19" t="s">
        <v>80</v>
      </c>
      <c r="D13" s="20" t="s">
        <v>144</v>
      </c>
      <c r="E13" s="21" t="s">
        <v>20</v>
      </c>
      <c r="F13" s="26">
        <v>10</v>
      </c>
      <c r="G13" s="110"/>
      <c r="H13" s="123">
        <f t="shared" si="0"/>
        <v>0</v>
      </c>
    </row>
    <row r="14" spans="1:8" ht="36" customHeight="1" x14ac:dyDescent="0.2">
      <c r="A14" s="43" t="s">
        <v>385</v>
      </c>
      <c r="B14" s="24" t="s">
        <v>386</v>
      </c>
      <c r="C14" s="19" t="s">
        <v>84</v>
      </c>
      <c r="D14" s="20" t="s">
        <v>229</v>
      </c>
      <c r="E14" s="21" t="s">
        <v>20</v>
      </c>
      <c r="F14" s="26">
        <v>9</v>
      </c>
      <c r="G14" s="110"/>
      <c r="H14" s="123">
        <f t="shared" si="0"/>
        <v>0</v>
      </c>
    </row>
    <row r="15" spans="1:8" ht="36" customHeight="1" x14ac:dyDescent="0.2">
      <c r="A15" s="43" t="s">
        <v>387</v>
      </c>
      <c r="B15" s="24" t="s">
        <v>388</v>
      </c>
      <c r="C15" s="19" t="s">
        <v>145</v>
      </c>
      <c r="D15" s="20" t="s">
        <v>195</v>
      </c>
      <c r="E15" s="21" t="s">
        <v>20</v>
      </c>
      <c r="F15" s="26">
        <v>8</v>
      </c>
      <c r="G15" s="110"/>
      <c r="H15" s="123">
        <f t="shared" si="0"/>
        <v>0</v>
      </c>
    </row>
    <row r="16" spans="1:8" ht="39.75" customHeight="1" x14ac:dyDescent="0.2">
      <c r="A16" s="43" t="s">
        <v>389</v>
      </c>
      <c r="B16" s="24" t="s">
        <v>390</v>
      </c>
      <c r="C16" s="19" t="s">
        <v>50</v>
      </c>
      <c r="D16" s="20" t="s">
        <v>51</v>
      </c>
      <c r="E16" s="21" t="s">
        <v>20</v>
      </c>
      <c r="F16" s="26">
        <v>22</v>
      </c>
      <c r="G16" s="110"/>
      <c r="H16" s="123">
        <f t="shared" si="0"/>
        <v>0</v>
      </c>
    </row>
    <row r="17" spans="1:8" ht="132.75" customHeight="1" x14ac:dyDescent="0.2">
      <c r="A17" s="43" t="s">
        <v>391</v>
      </c>
      <c r="B17" s="24" t="s">
        <v>392</v>
      </c>
      <c r="C17" s="19" t="s">
        <v>52</v>
      </c>
      <c r="D17" s="20" t="s">
        <v>196</v>
      </c>
      <c r="E17" s="21" t="s">
        <v>18</v>
      </c>
      <c r="F17" s="26">
        <v>19</v>
      </c>
      <c r="G17" s="110"/>
      <c r="H17" s="123">
        <f>F17*G17</f>
        <v>0</v>
      </c>
    </row>
    <row r="18" spans="1:8" ht="185.25" customHeight="1" x14ac:dyDescent="0.2">
      <c r="A18" s="43" t="s">
        <v>393</v>
      </c>
      <c r="B18" s="24" t="s">
        <v>394</v>
      </c>
      <c r="C18" s="19" t="s">
        <v>25</v>
      </c>
      <c r="D18" s="20" t="s">
        <v>46</v>
      </c>
      <c r="E18" s="21" t="s">
        <v>20</v>
      </c>
      <c r="F18" s="26">
        <v>52</v>
      </c>
      <c r="G18" s="110"/>
      <c r="H18" s="123">
        <f t="shared" si="0"/>
        <v>0</v>
      </c>
    </row>
    <row r="19" spans="1:8" ht="39.75" customHeight="1" x14ac:dyDescent="0.2">
      <c r="A19" s="43" t="s">
        <v>395</v>
      </c>
      <c r="B19" s="24" t="s">
        <v>396</v>
      </c>
      <c r="C19" s="19" t="s">
        <v>26</v>
      </c>
      <c r="D19" s="20" t="s">
        <v>95</v>
      </c>
      <c r="E19" s="21" t="s">
        <v>27</v>
      </c>
      <c r="F19" s="26">
        <v>8</v>
      </c>
      <c r="G19" s="110"/>
      <c r="H19" s="123">
        <f t="shared" si="0"/>
        <v>0</v>
      </c>
    </row>
    <row r="20" spans="1:8" ht="66.75" customHeight="1" x14ac:dyDescent="0.2">
      <c r="A20" s="43" t="s">
        <v>397</v>
      </c>
      <c r="B20" s="35" t="s">
        <v>398</v>
      </c>
      <c r="C20" s="31" t="s">
        <v>150</v>
      </c>
      <c r="D20" s="25" t="s">
        <v>153</v>
      </c>
      <c r="E20" s="32" t="s">
        <v>18</v>
      </c>
      <c r="F20" s="26">
        <v>14</v>
      </c>
      <c r="G20" s="110"/>
      <c r="H20" s="123">
        <f t="shared" si="0"/>
        <v>0</v>
      </c>
    </row>
    <row r="21" spans="1:8" ht="111.75" customHeight="1" x14ac:dyDescent="0.2">
      <c r="A21" s="43" t="s">
        <v>399</v>
      </c>
      <c r="B21" s="35" t="s">
        <v>400</v>
      </c>
      <c r="C21" s="31" t="s">
        <v>28</v>
      </c>
      <c r="D21" s="25" t="s">
        <v>157</v>
      </c>
      <c r="E21" s="32" t="s">
        <v>27</v>
      </c>
      <c r="F21" s="26">
        <v>26</v>
      </c>
      <c r="G21" s="110"/>
      <c r="H21" s="123">
        <f t="shared" si="0"/>
        <v>0</v>
      </c>
    </row>
    <row r="22" spans="1:8" ht="29.25" customHeight="1" x14ac:dyDescent="0.2">
      <c r="A22" s="43" t="s">
        <v>402</v>
      </c>
      <c r="B22" s="35" t="s">
        <v>403</v>
      </c>
      <c r="C22" s="31" t="s">
        <v>103</v>
      </c>
      <c r="D22" s="25" t="s">
        <v>401</v>
      </c>
      <c r="E22" s="32" t="s">
        <v>18</v>
      </c>
      <c r="F22" s="26">
        <v>4</v>
      </c>
      <c r="G22" s="110"/>
      <c r="H22" s="123">
        <f t="shared" si="0"/>
        <v>0</v>
      </c>
    </row>
    <row r="23" spans="1:8" ht="105.75" customHeight="1" x14ac:dyDescent="0.2">
      <c r="A23" s="43" t="s">
        <v>405</v>
      </c>
      <c r="B23" s="35" t="s">
        <v>406</v>
      </c>
      <c r="C23" s="31" t="s">
        <v>115</v>
      </c>
      <c r="D23" s="25" t="s">
        <v>404</v>
      </c>
      <c r="E23" s="32" t="s">
        <v>27</v>
      </c>
      <c r="F23" s="26">
        <v>14</v>
      </c>
      <c r="G23" s="110"/>
      <c r="H23" s="123">
        <f t="shared" si="0"/>
        <v>0</v>
      </c>
    </row>
    <row r="24" spans="1:8" ht="57" customHeight="1" x14ac:dyDescent="0.2">
      <c r="A24" s="43" t="s">
        <v>408</v>
      </c>
      <c r="B24" s="35" t="s">
        <v>409</v>
      </c>
      <c r="C24" s="31" t="s">
        <v>407</v>
      </c>
      <c r="D24" s="25" t="s">
        <v>325</v>
      </c>
      <c r="E24" s="32" t="s">
        <v>19</v>
      </c>
      <c r="F24" s="26">
        <v>14</v>
      </c>
      <c r="G24" s="110"/>
      <c r="H24" s="123">
        <f t="shared" si="0"/>
        <v>0</v>
      </c>
    </row>
    <row r="25" spans="1:8" ht="57" customHeight="1" x14ac:dyDescent="0.2">
      <c r="A25" s="43" t="s">
        <v>382</v>
      </c>
      <c r="B25" s="35" t="s">
        <v>410</v>
      </c>
      <c r="C25" s="31" t="s">
        <v>113</v>
      </c>
      <c r="D25" s="25" t="s">
        <v>200</v>
      </c>
      <c r="E25" s="32" t="s">
        <v>21</v>
      </c>
      <c r="F25" s="26">
        <v>5</v>
      </c>
      <c r="G25" s="110"/>
      <c r="H25" s="123">
        <f t="shared" si="0"/>
        <v>0</v>
      </c>
    </row>
    <row r="26" spans="1:8" ht="44.25" customHeight="1" x14ac:dyDescent="0.2">
      <c r="A26" s="43" t="s">
        <v>411</v>
      </c>
      <c r="B26" s="35" t="s">
        <v>412</v>
      </c>
      <c r="C26" s="31" t="s">
        <v>48</v>
      </c>
      <c r="D26" s="25" t="s">
        <v>58</v>
      </c>
      <c r="E26" s="32" t="s">
        <v>332</v>
      </c>
      <c r="F26" s="26">
        <v>8</v>
      </c>
      <c r="G26" s="110"/>
      <c r="H26" s="123">
        <f t="shared" si="0"/>
        <v>0</v>
      </c>
    </row>
    <row r="27" spans="1:8" ht="30" customHeight="1" x14ac:dyDescent="0.2">
      <c r="A27" s="43" t="s">
        <v>413</v>
      </c>
      <c r="B27" s="35" t="s">
        <v>264</v>
      </c>
      <c r="C27" s="31" t="s">
        <v>284</v>
      </c>
      <c r="D27" s="25" t="s">
        <v>414</v>
      </c>
      <c r="E27" s="32" t="s">
        <v>27</v>
      </c>
      <c r="F27" s="26">
        <v>6</v>
      </c>
      <c r="G27" s="110"/>
      <c r="H27" s="123">
        <f t="shared" si="0"/>
        <v>0</v>
      </c>
    </row>
    <row r="28" spans="1:8" ht="14.25" customHeight="1" x14ac:dyDescent="0.2">
      <c r="A28" s="43"/>
      <c r="B28" s="35"/>
      <c r="C28" s="31"/>
      <c r="D28" s="25"/>
      <c r="E28" s="32"/>
      <c r="F28" s="26"/>
      <c r="G28" s="110"/>
      <c r="H28" s="123"/>
    </row>
    <row r="29" spans="1:8" ht="20.25" customHeight="1" thickBot="1" x14ac:dyDescent="0.25">
      <c r="A29" s="180"/>
      <c r="B29" s="135"/>
      <c r="C29" s="136"/>
      <c r="D29" s="181"/>
      <c r="E29" s="56"/>
      <c r="F29" s="56"/>
      <c r="G29" s="182" t="s">
        <v>35</v>
      </c>
      <c r="H29" s="138">
        <f>SUM(H7:H27)</f>
        <v>0</v>
      </c>
    </row>
    <row r="30" spans="1:8" ht="13.5" thickBot="1" x14ac:dyDescent="0.25">
      <c r="A30" s="58"/>
      <c r="B30" s="213"/>
      <c r="C30" s="214"/>
      <c r="D30" s="59"/>
      <c r="E30" s="60"/>
      <c r="F30" s="213" t="s">
        <v>33</v>
      </c>
      <c r="G30" s="215"/>
      <c r="H30" s="214"/>
    </row>
    <row r="31" spans="1:8" ht="12.75" x14ac:dyDescent="0.2">
      <c r="A31" s="58"/>
      <c r="B31" s="195" t="s">
        <v>11</v>
      </c>
      <c r="C31" s="195" t="s">
        <v>34</v>
      </c>
      <c r="D31" s="59"/>
      <c r="E31" s="61"/>
      <c r="F31" s="195" t="s">
        <v>15</v>
      </c>
      <c r="G31" s="197" t="s">
        <v>35</v>
      </c>
      <c r="H31" s="199" t="s">
        <v>36</v>
      </c>
    </row>
    <row r="32" spans="1:8" ht="13.5" thickBot="1" x14ac:dyDescent="0.25">
      <c r="A32" s="58"/>
      <c r="B32" s="196"/>
      <c r="C32" s="196"/>
      <c r="D32" s="59"/>
      <c r="E32" s="61"/>
      <c r="F32" s="196"/>
      <c r="G32" s="198"/>
      <c r="H32" s="200"/>
    </row>
    <row r="33" spans="1:8" ht="12.75" x14ac:dyDescent="0.2">
      <c r="A33" s="58"/>
      <c r="B33" s="124" t="str">
        <f t="shared" ref="B33:B50" si="1">C7</f>
        <v>ROTS0003-01</v>
      </c>
      <c r="C33" s="125">
        <f t="shared" ref="C33:C50" si="2">F7</f>
        <v>17</v>
      </c>
      <c r="D33" s="59"/>
      <c r="E33" s="61"/>
      <c r="F33" s="64"/>
      <c r="G33" s="114"/>
      <c r="H33" s="115"/>
    </row>
    <row r="34" spans="1:8" ht="12.75" x14ac:dyDescent="0.2">
      <c r="A34" s="58"/>
      <c r="B34" s="62" t="str">
        <f t="shared" si="1"/>
        <v>ROTS0003-02</v>
      </c>
      <c r="C34" s="183">
        <f t="shared" si="2"/>
        <v>32</v>
      </c>
      <c r="D34" s="59"/>
      <c r="E34" s="61"/>
      <c r="F34" s="64"/>
      <c r="G34" s="114"/>
      <c r="H34" s="115"/>
    </row>
    <row r="35" spans="1:8" ht="12.75" x14ac:dyDescent="0.2">
      <c r="A35" s="58"/>
      <c r="B35" s="62" t="str">
        <f t="shared" si="1"/>
        <v>ROTS0007-01</v>
      </c>
      <c r="C35" s="183">
        <f t="shared" si="2"/>
        <v>23</v>
      </c>
      <c r="D35" s="59"/>
      <c r="E35" s="61"/>
      <c r="F35" s="64"/>
      <c r="G35" s="114"/>
      <c r="H35" s="115"/>
    </row>
    <row r="36" spans="1:8" ht="12.75" x14ac:dyDescent="0.2">
      <c r="A36" s="58"/>
      <c r="B36" s="62" t="str">
        <f t="shared" si="1"/>
        <v>ROTS0008-02</v>
      </c>
      <c r="C36" s="183">
        <f t="shared" si="2"/>
        <v>1</v>
      </c>
      <c r="D36" s="59"/>
      <c r="E36" s="61"/>
      <c r="F36" s="64"/>
      <c r="G36" s="114"/>
      <c r="H36" s="115"/>
    </row>
    <row r="37" spans="1:8" ht="12.75" x14ac:dyDescent="0.2">
      <c r="A37" s="58"/>
      <c r="B37" s="62" t="str">
        <f t="shared" si="1"/>
        <v>ROTS0008-03</v>
      </c>
      <c r="C37" s="183">
        <f t="shared" si="2"/>
        <v>1</v>
      </c>
      <c r="D37" s="59"/>
      <c r="E37" s="61"/>
      <c r="F37" s="64"/>
      <c r="G37" s="114"/>
      <c r="H37" s="115"/>
    </row>
    <row r="38" spans="1:8" ht="12.75" x14ac:dyDescent="0.2">
      <c r="A38" s="58"/>
      <c r="B38" s="62" t="str">
        <f t="shared" si="1"/>
        <v>ROTS0010-02</v>
      </c>
      <c r="C38" s="183">
        <f t="shared" si="2"/>
        <v>4</v>
      </c>
      <c r="D38" s="59"/>
      <c r="E38" s="61"/>
      <c r="F38" s="64"/>
      <c r="G38" s="114"/>
      <c r="H38" s="115"/>
    </row>
    <row r="39" spans="1:8" ht="12.75" x14ac:dyDescent="0.2">
      <c r="A39" s="58"/>
      <c r="B39" s="62" t="str">
        <f t="shared" si="1"/>
        <v>ROTS0012-01</v>
      </c>
      <c r="C39" s="183">
        <f t="shared" si="2"/>
        <v>10</v>
      </c>
      <c r="D39" s="59"/>
      <c r="E39" s="61"/>
      <c r="F39" s="64"/>
      <c r="G39" s="114"/>
      <c r="H39" s="115"/>
    </row>
    <row r="40" spans="1:8" ht="12.75" x14ac:dyDescent="0.2">
      <c r="A40" s="58"/>
      <c r="B40" s="62" t="str">
        <f t="shared" si="1"/>
        <v>ROTS0012-02</v>
      </c>
      <c r="C40" s="183">
        <f t="shared" si="2"/>
        <v>9</v>
      </c>
      <c r="D40" s="59"/>
      <c r="E40" s="61"/>
      <c r="F40" s="64"/>
      <c r="G40" s="114"/>
      <c r="H40" s="115"/>
    </row>
    <row r="41" spans="1:8" ht="12.75" x14ac:dyDescent="0.2">
      <c r="A41" s="58"/>
      <c r="B41" s="62" t="str">
        <f t="shared" si="1"/>
        <v>ROTS0012-03</v>
      </c>
      <c r="C41" s="183">
        <f t="shared" si="2"/>
        <v>8</v>
      </c>
      <c r="D41" s="59"/>
      <c r="E41" s="61"/>
      <c r="F41" s="64"/>
      <c r="G41" s="114"/>
      <c r="H41" s="115"/>
    </row>
    <row r="42" spans="1:8" ht="12.75" x14ac:dyDescent="0.2">
      <c r="A42" s="58"/>
      <c r="B42" s="62" t="str">
        <f t="shared" si="1"/>
        <v>ROTS0012-05</v>
      </c>
      <c r="C42" s="183">
        <f t="shared" si="2"/>
        <v>22</v>
      </c>
      <c r="D42" s="59"/>
      <c r="E42" s="61"/>
      <c r="F42" s="64"/>
      <c r="G42" s="114"/>
      <c r="H42" s="115"/>
    </row>
    <row r="43" spans="1:8" ht="12.75" x14ac:dyDescent="0.2">
      <c r="A43" s="58"/>
      <c r="B43" s="62" t="str">
        <f t="shared" si="1"/>
        <v>ROTS0014-02</v>
      </c>
      <c r="C43" s="183">
        <f t="shared" si="2"/>
        <v>19</v>
      </c>
      <c r="D43" s="59"/>
      <c r="E43" s="61"/>
      <c r="F43" s="64"/>
      <c r="G43" s="114"/>
      <c r="H43" s="115"/>
    </row>
    <row r="44" spans="1:8" ht="12.75" x14ac:dyDescent="0.2">
      <c r="A44" s="58"/>
      <c r="B44" s="62" t="str">
        <f t="shared" si="1"/>
        <v>ROTS0016-02</v>
      </c>
      <c r="C44" s="183">
        <f t="shared" si="2"/>
        <v>52</v>
      </c>
      <c r="D44" s="59"/>
      <c r="E44" s="61"/>
      <c r="F44" s="64"/>
      <c r="G44" s="114"/>
      <c r="H44" s="115"/>
    </row>
    <row r="45" spans="1:8" ht="12.75" x14ac:dyDescent="0.2">
      <c r="A45" s="58"/>
      <c r="B45" s="62" t="str">
        <f t="shared" si="1"/>
        <v>ROTS0019-01</v>
      </c>
      <c r="C45" s="183">
        <f t="shared" si="2"/>
        <v>8</v>
      </c>
      <c r="D45" s="59"/>
      <c r="E45" s="61"/>
      <c r="F45" s="64"/>
      <c r="G45" s="114"/>
      <c r="H45" s="115"/>
    </row>
    <row r="46" spans="1:8" ht="12.75" x14ac:dyDescent="0.2">
      <c r="A46" s="58"/>
      <c r="B46" s="62" t="str">
        <f t="shared" si="1"/>
        <v>ROTS0037-01</v>
      </c>
      <c r="C46" s="183">
        <f t="shared" si="2"/>
        <v>14</v>
      </c>
      <c r="D46" s="59"/>
      <c r="E46" s="61"/>
      <c r="F46" s="64"/>
      <c r="G46" s="114"/>
      <c r="H46" s="115"/>
    </row>
    <row r="47" spans="1:8" ht="12.75" x14ac:dyDescent="0.2">
      <c r="A47" s="58"/>
      <c r="B47" s="62" t="str">
        <f t="shared" si="1"/>
        <v>ROTS0038-01</v>
      </c>
      <c r="C47" s="183">
        <f t="shared" si="2"/>
        <v>26</v>
      </c>
      <c r="D47" s="59"/>
      <c r="E47" s="61"/>
      <c r="F47" s="64"/>
      <c r="G47" s="114"/>
      <c r="H47" s="115"/>
    </row>
    <row r="48" spans="1:8" ht="12.75" x14ac:dyDescent="0.2">
      <c r="A48" s="58"/>
      <c r="B48" s="62" t="str">
        <f t="shared" si="1"/>
        <v>ROTS0040-02</v>
      </c>
      <c r="C48" s="183">
        <f t="shared" si="2"/>
        <v>4</v>
      </c>
      <c r="D48" s="59"/>
      <c r="E48" s="61"/>
      <c r="F48" s="64"/>
      <c r="G48" s="114"/>
      <c r="H48" s="115"/>
    </row>
    <row r="49" spans="1:8" ht="12.75" x14ac:dyDescent="0.2">
      <c r="A49" s="58"/>
      <c r="B49" s="62" t="str">
        <f t="shared" si="1"/>
        <v>ROTS0068-02</v>
      </c>
      <c r="C49" s="183">
        <f t="shared" si="2"/>
        <v>14</v>
      </c>
      <c r="D49" s="59"/>
      <c r="E49" s="61"/>
      <c r="F49" s="64"/>
      <c r="G49" s="114"/>
      <c r="H49" s="115"/>
    </row>
    <row r="50" spans="1:8" ht="12.75" x14ac:dyDescent="0.2">
      <c r="A50" s="58"/>
      <c r="B50" s="62" t="str">
        <f t="shared" si="1"/>
        <v>ROTS70-01</v>
      </c>
      <c r="C50" s="183">
        <f t="shared" si="2"/>
        <v>14</v>
      </c>
      <c r="D50" s="59"/>
      <c r="E50" s="61"/>
      <c r="F50" s="64"/>
      <c r="G50" s="114"/>
      <c r="H50" s="115"/>
    </row>
    <row r="51" spans="1:8" ht="12.75" x14ac:dyDescent="0.2">
      <c r="A51" s="58"/>
      <c r="B51" s="62" t="str">
        <f t="shared" ref="B51:B52" si="3">C26</f>
        <v>ROTS0090-01</v>
      </c>
      <c r="C51" s="183">
        <f t="shared" ref="C51:C52" si="4">F26</f>
        <v>8</v>
      </c>
      <c r="D51" s="59"/>
      <c r="E51" s="61"/>
      <c r="F51" s="64"/>
      <c r="G51" s="114"/>
      <c r="H51" s="115"/>
    </row>
    <row r="52" spans="1:8" ht="12.75" x14ac:dyDescent="0.2">
      <c r="A52" s="58"/>
      <c r="B52" s="62" t="str">
        <f t="shared" si="3"/>
        <v>ROTS0113-01</v>
      </c>
      <c r="C52" s="183">
        <f t="shared" si="4"/>
        <v>6</v>
      </c>
      <c r="D52" s="59"/>
      <c r="E52" s="61"/>
      <c r="F52" s="64"/>
      <c r="G52" s="114"/>
      <c r="H52" s="115"/>
    </row>
    <row r="53" spans="1:8" ht="13.5" thickBot="1" x14ac:dyDescent="0.25">
      <c r="A53" s="58"/>
      <c r="B53" s="167"/>
      <c r="C53" s="184"/>
      <c r="D53" s="59"/>
      <c r="E53" s="61"/>
      <c r="F53" s="64"/>
      <c r="G53" s="114"/>
      <c r="H53" s="115"/>
    </row>
    <row r="54" spans="1:8" s="78" customFormat="1" ht="12.75" x14ac:dyDescent="0.2">
      <c r="A54" s="73"/>
      <c r="B54" s="77"/>
      <c r="C54" s="77"/>
      <c r="D54" s="74"/>
      <c r="E54" s="75"/>
      <c r="F54" s="76" t="s">
        <v>37</v>
      </c>
      <c r="G54" s="116"/>
      <c r="H54" s="117"/>
    </row>
    <row r="55" spans="1:8" ht="11.25" customHeight="1" x14ac:dyDescent="0.2">
      <c r="A55" s="201" t="s">
        <v>38</v>
      </c>
      <c r="B55" s="202"/>
      <c r="C55" s="202"/>
      <c r="D55" s="202"/>
      <c r="E55" s="203"/>
      <c r="F55" s="190"/>
      <c r="G55" s="191"/>
      <c r="H55" s="115"/>
    </row>
    <row r="56" spans="1:8" s="81" customFormat="1" ht="28.5" customHeight="1" x14ac:dyDescent="0.2">
      <c r="A56" s="187"/>
      <c r="B56" s="188"/>
      <c r="C56" s="188"/>
      <c r="D56" s="188"/>
      <c r="E56" s="189"/>
      <c r="F56" s="190" t="s">
        <v>39</v>
      </c>
      <c r="G56" s="191"/>
      <c r="H56" s="118" t="s">
        <v>40</v>
      </c>
    </row>
    <row r="57" spans="1:8" s="81" customFormat="1" ht="61.5" customHeight="1" x14ac:dyDescent="0.2">
      <c r="A57" s="79"/>
      <c r="B57" s="192" t="s">
        <v>346</v>
      </c>
      <c r="C57" s="192"/>
      <c r="D57" s="192"/>
      <c r="E57" s="80"/>
      <c r="F57" s="193" t="s">
        <v>42</v>
      </c>
      <c r="G57" s="194"/>
      <c r="H57" s="118" t="s">
        <v>43</v>
      </c>
    </row>
    <row r="58" spans="1:8" s="81" customFormat="1" ht="13.5" thickBot="1" x14ac:dyDescent="0.25">
      <c r="A58" s="82"/>
      <c r="B58" s="83"/>
      <c r="C58" s="83"/>
      <c r="D58" s="84"/>
      <c r="E58" s="169"/>
      <c r="F58" s="86"/>
      <c r="G58" s="119"/>
      <c r="H58" s="120"/>
    </row>
  </sheetData>
  <mergeCells count="18">
    <mergeCell ref="A56:E56"/>
    <mergeCell ref="F56:G56"/>
    <mergeCell ref="B57:D57"/>
    <mergeCell ref="F57:G57"/>
    <mergeCell ref="B31:B32"/>
    <mergeCell ref="C31:C32"/>
    <mergeCell ref="F31:F32"/>
    <mergeCell ref="G31:G32"/>
    <mergeCell ref="H31:H32"/>
    <mergeCell ref="A55:E55"/>
    <mergeCell ref="F55:G55"/>
    <mergeCell ref="A2:H2"/>
    <mergeCell ref="A3:E3"/>
    <mergeCell ref="B4:C4"/>
    <mergeCell ref="A5:F5"/>
    <mergeCell ref="G5:H5"/>
    <mergeCell ref="B30:C30"/>
    <mergeCell ref="F30:H30"/>
  </mergeCells>
  <phoneticPr fontId="19" type="noConversion"/>
  <pageMargins left="0.25" right="0.25" top="0.75" bottom="0.75" header="0.3" footer="0.3"/>
  <pageSetup paperSize="9" scale="70" fitToHeight="0" orientation="portrait" r:id="rId1"/>
  <rowBreaks count="1" manualBreakCount="1">
    <brk id="4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88B4-9447-47B2-BC48-420D6D30F4F8}">
  <sheetPr>
    <pageSetUpPr fitToPage="1"/>
  </sheetPr>
  <dimension ref="A1:J58"/>
  <sheetViews>
    <sheetView zoomScale="85" zoomScaleNormal="85" workbookViewId="0">
      <selection activeCell="D15" sqref="D15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2.855468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3.42578125" style="122" customWidth="1"/>
    <col min="9" max="9" width="2.42578125" style="7" customWidth="1"/>
    <col min="10" max="10" width="9" style="7"/>
    <col min="11" max="12" width="10.85546875" style="7" bestFit="1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10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10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10" ht="12" customHeight="1" x14ac:dyDescent="0.2">
      <c r="A3" s="201" t="s">
        <v>2</v>
      </c>
      <c r="B3" s="202"/>
      <c r="C3" s="202"/>
      <c r="D3" s="202"/>
      <c r="E3" s="202"/>
      <c r="F3" s="10"/>
      <c r="G3" s="106" t="s">
        <v>3</v>
      </c>
      <c r="H3" s="107" t="s">
        <v>415</v>
      </c>
    </row>
    <row r="4" spans="1:10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>
        <v>45961</v>
      </c>
    </row>
    <row r="5" spans="1:10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10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10" ht="39" customHeight="1" x14ac:dyDescent="0.2">
      <c r="A7" s="45" t="s">
        <v>416</v>
      </c>
      <c r="B7" s="24" t="s">
        <v>417</v>
      </c>
      <c r="C7" s="19" t="s">
        <v>22</v>
      </c>
      <c r="D7" s="25" t="s">
        <v>45</v>
      </c>
      <c r="E7" s="21" t="s">
        <v>54</v>
      </c>
      <c r="F7" s="26">
        <v>5</v>
      </c>
      <c r="G7" s="110"/>
      <c r="H7" s="123">
        <f t="shared" ref="H7:H26" si="0">+G7*F7</f>
        <v>0</v>
      </c>
      <c r="J7" s="7" t="s">
        <v>17</v>
      </c>
    </row>
    <row r="8" spans="1:10" ht="33" customHeight="1" x14ac:dyDescent="0.2">
      <c r="A8" s="45" t="s">
        <v>424</v>
      </c>
      <c r="B8" s="24" t="s">
        <v>423</v>
      </c>
      <c r="C8" s="19" t="s">
        <v>288</v>
      </c>
      <c r="D8" s="25" t="s">
        <v>232</v>
      </c>
      <c r="E8" s="21" t="s">
        <v>19</v>
      </c>
      <c r="F8" s="26">
        <v>16</v>
      </c>
      <c r="G8" s="110"/>
      <c r="H8" s="123">
        <f t="shared" si="0"/>
        <v>0</v>
      </c>
      <c r="J8" s="7" t="s">
        <v>17</v>
      </c>
    </row>
    <row r="9" spans="1:10" ht="43.5" customHeight="1" x14ac:dyDescent="0.2">
      <c r="A9" s="23" t="s">
        <v>419</v>
      </c>
      <c r="B9" s="24" t="s">
        <v>420</v>
      </c>
      <c r="C9" s="19" t="s">
        <v>68</v>
      </c>
      <c r="D9" s="20" t="s">
        <v>69</v>
      </c>
      <c r="E9" s="21" t="s">
        <v>418</v>
      </c>
      <c r="F9" s="26">
        <v>4</v>
      </c>
      <c r="G9" s="110"/>
      <c r="H9" s="123">
        <f t="shared" si="0"/>
        <v>0</v>
      </c>
      <c r="J9" s="7" t="s">
        <v>17</v>
      </c>
    </row>
    <row r="10" spans="1:10" ht="27" customHeight="1" x14ac:dyDescent="0.2">
      <c r="A10" s="23" t="s">
        <v>425</v>
      </c>
      <c r="B10" s="24" t="s">
        <v>426</v>
      </c>
      <c r="C10" s="19" t="s">
        <v>24</v>
      </c>
      <c r="D10" s="20" t="s">
        <v>72</v>
      </c>
      <c r="E10" s="21" t="s">
        <v>54</v>
      </c>
      <c r="F10" s="26">
        <v>2</v>
      </c>
      <c r="G10" s="110"/>
      <c r="H10" s="123"/>
    </row>
    <row r="11" spans="1:10" ht="27" customHeight="1" x14ac:dyDescent="0.2">
      <c r="A11" s="23" t="s">
        <v>425</v>
      </c>
      <c r="B11" s="24" t="s">
        <v>426</v>
      </c>
      <c r="C11" s="19" t="s">
        <v>138</v>
      </c>
      <c r="D11" s="20" t="s">
        <v>139</v>
      </c>
      <c r="E11" s="21" t="s">
        <v>54</v>
      </c>
      <c r="F11" s="26">
        <v>2</v>
      </c>
      <c r="G11" s="110"/>
      <c r="H11" s="123"/>
    </row>
    <row r="12" spans="1:10" ht="27" customHeight="1" x14ac:dyDescent="0.2">
      <c r="A12" s="23" t="s">
        <v>425</v>
      </c>
      <c r="B12" s="24" t="s">
        <v>427</v>
      </c>
      <c r="C12" s="19" t="s">
        <v>145</v>
      </c>
      <c r="D12" s="20" t="s">
        <v>195</v>
      </c>
      <c r="E12" s="21" t="s">
        <v>20</v>
      </c>
      <c r="F12" s="26">
        <v>5</v>
      </c>
      <c r="G12" s="110"/>
      <c r="H12" s="123"/>
    </row>
    <row r="13" spans="1:10" ht="27" customHeight="1" x14ac:dyDescent="0.2">
      <c r="A13" s="45" t="s">
        <v>425</v>
      </c>
      <c r="B13" s="24" t="s">
        <v>428</v>
      </c>
      <c r="C13" s="31" t="s">
        <v>50</v>
      </c>
      <c r="D13" s="25" t="s">
        <v>51</v>
      </c>
      <c r="E13" s="32" t="s">
        <v>20</v>
      </c>
      <c r="F13" s="26">
        <v>8</v>
      </c>
      <c r="G13" s="110"/>
      <c r="H13" s="123"/>
    </row>
    <row r="14" spans="1:10" ht="50.25" customHeight="1" x14ac:dyDescent="0.2">
      <c r="A14" s="45" t="s">
        <v>430</v>
      </c>
      <c r="B14" s="24" t="s">
        <v>429</v>
      </c>
      <c r="C14" s="31" t="s">
        <v>52</v>
      </c>
      <c r="D14" s="25" t="s">
        <v>196</v>
      </c>
      <c r="E14" s="32" t="s">
        <v>18</v>
      </c>
      <c r="F14" s="26">
        <v>10</v>
      </c>
      <c r="G14" s="110"/>
      <c r="H14" s="123">
        <f t="shared" si="0"/>
        <v>0</v>
      </c>
      <c r="J14" s="7" t="s">
        <v>17</v>
      </c>
    </row>
    <row r="15" spans="1:10" ht="135" customHeight="1" x14ac:dyDescent="0.2">
      <c r="A15" s="45" t="s">
        <v>431</v>
      </c>
      <c r="B15" s="24" t="s">
        <v>432</v>
      </c>
      <c r="C15" s="19" t="s">
        <v>25</v>
      </c>
      <c r="D15" s="20" t="s">
        <v>230</v>
      </c>
      <c r="E15" s="21" t="s">
        <v>21</v>
      </c>
      <c r="F15" s="26">
        <v>30</v>
      </c>
      <c r="G15" s="110"/>
      <c r="H15" s="123">
        <f t="shared" si="0"/>
        <v>0</v>
      </c>
      <c r="J15" s="7" t="s">
        <v>17</v>
      </c>
    </row>
    <row r="16" spans="1:10" ht="32.25" customHeight="1" x14ac:dyDescent="0.2">
      <c r="A16" s="45" t="s">
        <v>421</v>
      </c>
      <c r="B16" s="24" t="s">
        <v>422</v>
      </c>
      <c r="C16" s="31" t="s">
        <v>26</v>
      </c>
      <c r="D16" s="25" t="s">
        <v>95</v>
      </c>
      <c r="E16" s="21" t="s">
        <v>27</v>
      </c>
      <c r="F16" s="26">
        <v>6</v>
      </c>
      <c r="G16" s="110"/>
      <c r="H16" s="123">
        <f t="shared" si="0"/>
        <v>0</v>
      </c>
      <c r="J16" s="7" t="s">
        <v>17</v>
      </c>
    </row>
    <row r="17" spans="1:10" ht="33.75" customHeight="1" x14ac:dyDescent="0.2">
      <c r="A17" s="45" t="s">
        <v>434</v>
      </c>
      <c r="B17" s="35" t="s">
        <v>433</v>
      </c>
      <c r="C17" s="31" t="s">
        <v>150</v>
      </c>
      <c r="D17" s="25" t="s">
        <v>153</v>
      </c>
      <c r="E17" s="32" t="s">
        <v>18</v>
      </c>
      <c r="F17" s="26">
        <v>11</v>
      </c>
      <c r="G17" s="110"/>
      <c r="H17" s="123">
        <f t="shared" si="0"/>
        <v>0</v>
      </c>
      <c r="J17" s="7" t="s">
        <v>17</v>
      </c>
    </row>
    <row r="18" spans="1:10" ht="57" customHeight="1" x14ac:dyDescent="0.2">
      <c r="A18" s="45" t="s">
        <v>436</v>
      </c>
      <c r="B18" s="24" t="s">
        <v>435</v>
      </c>
      <c r="C18" s="31" t="s">
        <v>28</v>
      </c>
      <c r="D18" s="25" t="s">
        <v>217</v>
      </c>
      <c r="E18" s="32" t="s">
        <v>27</v>
      </c>
      <c r="F18" s="26">
        <v>23</v>
      </c>
      <c r="G18" s="110"/>
      <c r="H18" s="123">
        <f t="shared" si="0"/>
        <v>0</v>
      </c>
      <c r="J18" s="7" t="s">
        <v>17</v>
      </c>
    </row>
    <row r="19" spans="1:10" ht="27" customHeight="1" x14ac:dyDescent="0.2">
      <c r="A19" s="45" t="s">
        <v>425</v>
      </c>
      <c r="B19" s="24" t="s">
        <v>427</v>
      </c>
      <c r="C19" s="31" t="s">
        <v>103</v>
      </c>
      <c r="D19" s="25" t="s">
        <v>437</v>
      </c>
      <c r="E19" s="32" t="s">
        <v>18</v>
      </c>
      <c r="F19" s="26">
        <v>5</v>
      </c>
      <c r="G19" s="110"/>
      <c r="H19" s="123">
        <f t="shared" si="0"/>
        <v>0</v>
      </c>
      <c r="J19" s="7" t="s">
        <v>17</v>
      </c>
    </row>
    <row r="20" spans="1:10" ht="22.5" customHeight="1" x14ac:dyDescent="0.2">
      <c r="A20" s="45" t="s">
        <v>425</v>
      </c>
      <c r="B20" s="24" t="s">
        <v>438</v>
      </c>
      <c r="C20" s="42" t="s">
        <v>166</v>
      </c>
      <c r="D20" s="25" t="s">
        <v>167</v>
      </c>
      <c r="E20" s="32" t="s">
        <v>18</v>
      </c>
      <c r="F20" s="26">
        <v>12</v>
      </c>
      <c r="G20" s="110"/>
      <c r="H20" s="123">
        <f t="shared" si="0"/>
        <v>0</v>
      </c>
    </row>
    <row r="21" spans="1:10" ht="27.75" customHeight="1" x14ac:dyDescent="0.2">
      <c r="A21" s="45" t="s">
        <v>425</v>
      </c>
      <c r="B21" s="35" t="s">
        <v>426</v>
      </c>
      <c r="C21" s="31" t="s">
        <v>115</v>
      </c>
      <c r="D21" s="25" t="s">
        <v>222</v>
      </c>
      <c r="E21" s="32" t="s">
        <v>27</v>
      </c>
      <c r="F21" s="26">
        <v>2</v>
      </c>
      <c r="G21" s="110"/>
      <c r="H21" s="123">
        <f t="shared" ref="H21:H24" si="1">+G21*F21</f>
        <v>0</v>
      </c>
      <c r="J21" s="7" t="s">
        <v>17</v>
      </c>
    </row>
    <row r="22" spans="1:10" ht="27" customHeight="1" x14ac:dyDescent="0.2">
      <c r="A22" s="45" t="s">
        <v>440</v>
      </c>
      <c r="B22" s="24" t="s">
        <v>441</v>
      </c>
      <c r="C22" s="31" t="s">
        <v>31</v>
      </c>
      <c r="D22" s="25" t="s">
        <v>439</v>
      </c>
      <c r="E22" s="32" t="s">
        <v>19</v>
      </c>
      <c r="F22" s="26">
        <v>5</v>
      </c>
      <c r="G22" s="110"/>
      <c r="H22" s="123">
        <f t="shared" si="1"/>
        <v>0</v>
      </c>
      <c r="J22" s="7" t="s">
        <v>17</v>
      </c>
    </row>
    <row r="23" spans="1:10" ht="31.5" customHeight="1" x14ac:dyDescent="0.2">
      <c r="A23" s="45" t="s">
        <v>425</v>
      </c>
      <c r="B23" s="24" t="s">
        <v>426</v>
      </c>
      <c r="C23" s="31" t="s">
        <v>113</v>
      </c>
      <c r="D23" s="25" t="s">
        <v>200</v>
      </c>
      <c r="E23" s="32" t="s">
        <v>272</v>
      </c>
      <c r="F23" s="26">
        <v>2</v>
      </c>
      <c r="G23" s="110"/>
      <c r="H23" s="123">
        <f t="shared" si="1"/>
        <v>0</v>
      </c>
      <c r="J23" s="7" t="s">
        <v>17</v>
      </c>
    </row>
    <row r="24" spans="1:10" ht="58.5" customHeight="1" x14ac:dyDescent="0.2">
      <c r="A24" s="45" t="s">
        <v>443</v>
      </c>
      <c r="B24" s="24" t="s">
        <v>442</v>
      </c>
      <c r="C24" s="42" t="s">
        <v>48</v>
      </c>
      <c r="D24" s="25" t="s">
        <v>58</v>
      </c>
      <c r="E24" s="32" t="s">
        <v>332</v>
      </c>
      <c r="F24" s="26">
        <v>7</v>
      </c>
      <c r="G24" s="110"/>
      <c r="H24" s="123">
        <f t="shared" si="1"/>
        <v>0</v>
      </c>
    </row>
    <row r="25" spans="1:10" ht="54.75" customHeight="1" x14ac:dyDescent="0.2">
      <c r="A25" s="45" t="s">
        <v>445</v>
      </c>
      <c r="B25" s="35" t="s">
        <v>446</v>
      </c>
      <c r="C25" s="31" t="s">
        <v>32</v>
      </c>
      <c r="D25" s="25" t="s">
        <v>444</v>
      </c>
      <c r="E25" s="32" t="s">
        <v>18</v>
      </c>
      <c r="F25" s="26">
        <v>5</v>
      </c>
      <c r="G25" s="110"/>
      <c r="H25" s="123">
        <f t="shared" si="0"/>
        <v>0</v>
      </c>
      <c r="J25" s="7" t="s">
        <v>17</v>
      </c>
    </row>
    <row r="26" spans="1:10" ht="25.5" customHeight="1" x14ac:dyDescent="0.2">
      <c r="A26" s="45" t="s">
        <v>425</v>
      </c>
      <c r="B26" s="24" t="s">
        <v>447</v>
      </c>
      <c r="C26" s="31" t="s">
        <v>284</v>
      </c>
      <c r="D26" s="25" t="s">
        <v>285</v>
      </c>
      <c r="E26" s="32" t="s">
        <v>27</v>
      </c>
      <c r="F26" s="26">
        <v>10</v>
      </c>
      <c r="G26" s="110"/>
      <c r="H26" s="123">
        <f t="shared" si="0"/>
        <v>0</v>
      </c>
      <c r="J26" s="7" t="s">
        <v>17</v>
      </c>
    </row>
    <row r="27" spans="1:10" ht="22.5" customHeight="1" x14ac:dyDescent="0.2">
      <c r="A27" s="45"/>
      <c r="B27" s="24"/>
      <c r="C27" s="31"/>
      <c r="D27" s="25"/>
      <c r="E27" s="32"/>
      <c r="F27" s="26"/>
      <c r="G27" s="110"/>
      <c r="H27" s="123"/>
      <c r="J27" s="7" t="s">
        <v>17</v>
      </c>
    </row>
    <row r="28" spans="1:10" ht="22.5" customHeight="1" x14ac:dyDescent="0.2">
      <c r="A28" s="45"/>
      <c r="B28" s="24"/>
      <c r="C28" s="42"/>
      <c r="D28" s="25"/>
      <c r="E28" s="32"/>
      <c r="F28" s="26"/>
      <c r="G28" s="110"/>
      <c r="H28" s="123"/>
    </row>
    <row r="29" spans="1:10" ht="12" customHeight="1" thickBot="1" x14ac:dyDescent="0.25">
      <c r="A29" s="51"/>
      <c r="B29" s="135"/>
      <c r="C29" s="136"/>
      <c r="D29" s="54"/>
      <c r="E29" s="137"/>
      <c r="F29" s="56"/>
      <c r="G29" s="112"/>
      <c r="H29" s="138"/>
    </row>
    <row r="30" spans="1:10" ht="13.5" thickBot="1" x14ac:dyDescent="0.25">
      <c r="A30" s="58"/>
      <c r="B30" s="213"/>
      <c r="C30" s="214"/>
      <c r="D30" s="59"/>
      <c r="E30" s="60"/>
      <c r="F30" s="213" t="s">
        <v>33</v>
      </c>
      <c r="G30" s="215"/>
      <c r="H30" s="214"/>
    </row>
    <row r="31" spans="1:10" ht="12.75" x14ac:dyDescent="0.2">
      <c r="A31" s="58"/>
      <c r="B31" s="195" t="s">
        <v>11</v>
      </c>
      <c r="C31" s="195" t="s">
        <v>34</v>
      </c>
      <c r="D31" s="59"/>
      <c r="E31" s="61"/>
      <c r="F31" s="195" t="s">
        <v>15</v>
      </c>
      <c r="G31" s="197" t="s">
        <v>35</v>
      </c>
      <c r="H31" s="199" t="s">
        <v>36</v>
      </c>
    </row>
    <row r="32" spans="1:10" ht="13.5" thickBot="1" x14ac:dyDescent="0.25">
      <c r="A32" s="58"/>
      <c r="B32" s="196"/>
      <c r="C32" s="196"/>
      <c r="D32" s="59"/>
      <c r="E32" s="61"/>
      <c r="F32" s="196"/>
      <c r="G32" s="198"/>
      <c r="H32" s="200"/>
    </row>
    <row r="33" spans="1:8" ht="12.75" x14ac:dyDescent="0.2">
      <c r="A33" s="58"/>
      <c r="B33" s="124" t="str">
        <f xml:space="preserve"> C7</f>
        <v>ROTS0003-01</v>
      </c>
      <c r="C33" s="125">
        <f>F7</f>
        <v>5</v>
      </c>
      <c r="D33" s="59"/>
      <c r="E33" s="61"/>
      <c r="F33" s="64"/>
      <c r="G33" s="114"/>
      <c r="H33" s="115"/>
    </row>
    <row r="34" spans="1:8" ht="12.75" x14ac:dyDescent="0.2">
      <c r="A34" s="58"/>
      <c r="B34" s="62" t="str">
        <f>C8</f>
        <v>ROTS0003-02</v>
      </c>
      <c r="C34" s="63">
        <f>F8</f>
        <v>16</v>
      </c>
      <c r="D34" s="59"/>
      <c r="E34" s="61"/>
      <c r="F34" s="64"/>
      <c r="G34" s="114"/>
      <c r="H34" s="115"/>
    </row>
    <row r="35" spans="1:8" ht="12.75" x14ac:dyDescent="0.2">
      <c r="A35" s="58"/>
      <c r="B35" s="62" t="str">
        <f t="shared" ref="B35:B52" si="2">C9</f>
        <v>ROTS0007-01</v>
      </c>
      <c r="C35" s="63">
        <f t="shared" ref="C35:C52" si="3">F9</f>
        <v>4</v>
      </c>
      <c r="D35" s="59"/>
      <c r="E35" s="61"/>
      <c r="F35" s="64"/>
      <c r="G35" s="114"/>
      <c r="H35" s="115"/>
    </row>
    <row r="36" spans="1:8" ht="12.75" x14ac:dyDescent="0.2">
      <c r="A36" s="58"/>
      <c r="B36" s="62" t="str">
        <f t="shared" si="2"/>
        <v>ROTS0008-02</v>
      </c>
      <c r="C36" s="63">
        <f t="shared" si="3"/>
        <v>2</v>
      </c>
      <c r="D36" s="59"/>
      <c r="E36" s="61"/>
      <c r="F36" s="64"/>
      <c r="G36" s="114"/>
      <c r="H36" s="115"/>
    </row>
    <row r="37" spans="1:8" ht="12.75" x14ac:dyDescent="0.2">
      <c r="A37" s="58"/>
      <c r="B37" s="62" t="str">
        <f t="shared" si="2"/>
        <v>ROTS0008-03</v>
      </c>
      <c r="C37" s="63">
        <f t="shared" si="3"/>
        <v>2</v>
      </c>
      <c r="D37" s="59"/>
      <c r="E37" s="61"/>
      <c r="F37" s="64"/>
      <c r="G37" s="114"/>
      <c r="H37" s="115"/>
    </row>
    <row r="38" spans="1:8" ht="12.75" x14ac:dyDescent="0.2">
      <c r="A38" s="58"/>
      <c r="B38" s="62" t="str">
        <f t="shared" si="2"/>
        <v>ROTS0012-03</v>
      </c>
      <c r="C38" s="63">
        <f t="shared" si="3"/>
        <v>5</v>
      </c>
      <c r="D38" s="59"/>
      <c r="E38" s="61"/>
      <c r="F38" s="64"/>
      <c r="G38" s="114"/>
      <c r="H38" s="115"/>
    </row>
    <row r="39" spans="1:8" ht="12.75" x14ac:dyDescent="0.2">
      <c r="A39" s="58"/>
      <c r="B39" s="62" t="str">
        <f t="shared" si="2"/>
        <v>ROTS0012-05</v>
      </c>
      <c r="C39" s="63">
        <f t="shared" si="3"/>
        <v>8</v>
      </c>
      <c r="D39" s="59"/>
      <c r="E39" s="61"/>
      <c r="F39" s="64"/>
      <c r="G39" s="114"/>
      <c r="H39" s="115"/>
    </row>
    <row r="40" spans="1:8" ht="12.75" x14ac:dyDescent="0.2">
      <c r="A40" s="58"/>
      <c r="B40" s="62" t="str">
        <f t="shared" si="2"/>
        <v>ROTS0014-02</v>
      </c>
      <c r="C40" s="63">
        <f t="shared" si="3"/>
        <v>10</v>
      </c>
      <c r="D40" s="59"/>
      <c r="E40" s="61"/>
      <c r="F40" s="64"/>
      <c r="G40" s="114"/>
      <c r="H40" s="115"/>
    </row>
    <row r="41" spans="1:8" ht="12.75" x14ac:dyDescent="0.2">
      <c r="A41" s="58"/>
      <c r="B41" s="62" t="str">
        <f t="shared" si="2"/>
        <v>ROTS0016-02</v>
      </c>
      <c r="C41" s="63">
        <f t="shared" si="3"/>
        <v>30</v>
      </c>
      <c r="D41" s="59"/>
      <c r="E41" s="61"/>
      <c r="F41" s="64"/>
      <c r="G41" s="114"/>
      <c r="H41" s="115"/>
    </row>
    <row r="42" spans="1:8" ht="12.75" x14ac:dyDescent="0.2">
      <c r="A42" s="58"/>
      <c r="B42" s="62" t="str">
        <f t="shared" si="2"/>
        <v>ROTS0019-01</v>
      </c>
      <c r="C42" s="63">
        <f t="shared" si="3"/>
        <v>6</v>
      </c>
      <c r="D42" s="59"/>
      <c r="E42" s="61"/>
      <c r="F42" s="64"/>
      <c r="G42" s="114"/>
      <c r="H42" s="115"/>
    </row>
    <row r="43" spans="1:8" ht="12.75" x14ac:dyDescent="0.2">
      <c r="A43" s="58"/>
      <c r="B43" s="62" t="str">
        <f t="shared" si="2"/>
        <v>ROTS0037-01</v>
      </c>
      <c r="C43" s="63">
        <f t="shared" si="3"/>
        <v>11</v>
      </c>
      <c r="D43" s="59"/>
      <c r="E43" s="61"/>
      <c r="F43" s="64"/>
      <c r="G43" s="114"/>
      <c r="H43" s="115"/>
    </row>
    <row r="44" spans="1:8" ht="12.75" x14ac:dyDescent="0.2">
      <c r="A44" s="58"/>
      <c r="B44" s="62" t="str">
        <f t="shared" si="2"/>
        <v>ROTS0038-01</v>
      </c>
      <c r="C44" s="63">
        <f t="shared" si="3"/>
        <v>23</v>
      </c>
      <c r="D44" s="59"/>
      <c r="E44" s="61"/>
      <c r="F44" s="64"/>
      <c r="G44" s="114"/>
      <c r="H44" s="115"/>
    </row>
    <row r="45" spans="1:8" ht="12.75" x14ac:dyDescent="0.2">
      <c r="A45" s="58"/>
      <c r="B45" s="62" t="str">
        <f t="shared" si="2"/>
        <v>ROTS0040-02</v>
      </c>
      <c r="C45" s="63">
        <f t="shared" si="3"/>
        <v>5</v>
      </c>
      <c r="D45" s="59"/>
      <c r="E45" s="61"/>
      <c r="F45" s="64"/>
      <c r="G45" s="114"/>
      <c r="H45" s="115"/>
    </row>
    <row r="46" spans="1:8" ht="12.75" x14ac:dyDescent="0.2">
      <c r="A46" s="58"/>
      <c r="B46" s="62" t="str">
        <f t="shared" si="2"/>
        <v>ROTS0065-01</v>
      </c>
      <c r="C46" s="63">
        <f t="shared" si="3"/>
        <v>12</v>
      </c>
      <c r="D46" s="59"/>
      <c r="E46" s="61"/>
      <c r="F46" s="64"/>
      <c r="G46" s="114"/>
      <c r="H46" s="115"/>
    </row>
    <row r="47" spans="1:8" ht="12.75" x14ac:dyDescent="0.2">
      <c r="A47" s="58"/>
      <c r="B47" s="62" t="str">
        <f t="shared" si="2"/>
        <v>ROTS0068-02</v>
      </c>
      <c r="C47" s="63">
        <f t="shared" si="3"/>
        <v>2</v>
      </c>
      <c r="D47" s="59"/>
      <c r="E47" s="61"/>
      <c r="F47" s="64"/>
      <c r="G47" s="114"/>
      <c r="H47" s="115"/>
    </row>
    <row r="48" spans="1:8" ht="12.75" x14ac:dyDescent="0.2">
      <c r="A48" s="58"/>
      <c r="B48" s="62" t="str">
        <f t="shared" si="2"/>
        <v>ROTS0070-01</v>
      </c>
      <c r="C48" s="63">
        <f t="shared" si="3"/>
        <v>5</v>
      </c>
      <c r="D48" s="59"/>
      <c r="E48" s="61"/>
      <c r="F48" s="64"/>
      <c r="G48" s="114"/>
      <c r="H48" s="115"/>
    </row>
    <row r="49" spans="1:8" ht="12.75" x14ac:dyDescent="0.2">
      <c r="A49" s="58"/>
      <c r="B49" s="62" t="str">
        <f t="shared" si="2"/>
        <v>ROTS0071-02</v>
      </c>
      <c r="C49" s="63">
        <f t="shared" si="3"/>
        <v>2</v>
      </c>
      <c r="D49" s="59"/>
      <c r="E49" s="61"/>
      <c r="F49" s="64"/>
      <c r="G49" s="114"/>
      <c r="H49" s="115"/>
    </row>
    <row r="50" spans="1:8" ht="12.75" x14ac:dyDescent="0.2">
      <c r="A50" s="58"/>
      <c r="B50" s="62" t="str">
        <f t="shared" si="2"/>
        <v>ROTS0090-01</v>
      </c>
      <c r="C50" s="63">
        <f t="shared" si="3"/>
        <v>7</v>
      </c>
      <c r="D50" s="59"/>
      <c r="E50" s="61"/>
      <c r="F50" s="64"/>
      <c r="G50" s="114"/>
      <c r="H50" s="115"/>
    </row>
    <row r="51" spans="1:8" ht="12.75" x14ac:dyDescent="0.2">
      <c r="A51" s="58"/>
      <c r="B51" s="62" t="str">
        <f t="shared" si="2"/>
        <v>ROTS0091-01</v>
      </c>
      <c r="C51" s="63">
        <f t="shared" si="3"/>
        <v>5</v>
      </c>
      <c r="D51" s="59"/>
      <c r="E51" s="61"/>
      <c r="F51" s="64"/>
      <c r="G51" s="114"/>
      <c r="H51" s="115"/>
    </row>
    <row r="52" spans="1:8" ht="12.75" x14ac:dyDescent="0.2">
      <c r="A52" s="58"/>
      <c r="B52" s="62" t="str">
        <f t="shared" si="2"/>
        <v>ROTS0113-01</v>
      </c>
      <c r="C52" s="63">
        <f t="shared" si="3"/>
        <v>10</v>
      </c>
      <c r="D52" s="59"/>
      <c r="E52" s="61"/>
      <c r="F52" s="64"/>
      <c r="G52" s="114"/>
      <c r="H52" s="115"/>
    </row>
    <row r="53" spans="1:8" ht="13.5" thickBot="1" x14ac:dyDescent="0.25">
      <c r="A53" s="58"/>
      <c r="B53" s="167"/>
      <c r="C53" s="185"/>
      <c r="D53" s="59"/>
      <c r="E53" s="61"/>
      <c r="F53" s="64"/>
      <c r="G53" s="114"/>
      <c r="H53" s="115"/>
    </row>
    <row r="54" spans="1:8" s="78" customFormat="1" ht="12.75" x14ac:dyDescent="0.2">
      <c r="A54" s="73"/>
      <c r="B54" s="77"/>
      <c r="C54" s="77"/>
      <c r="D54" s="74"/>
      <c r="E54" s="75"/>
      <c r="F54" s="76" t="s">
        <v>37</v>
      </c>
      <c r="G54" s="116"/>
      <c r="H54" s="117"/>
    </row>
    <row r="55" spans="1:8" ht="11.25" customHeight="1" x14ac:dyDescent="0.2">
      <c r="A55" s="201" t="s">
        <v>38</v>
      </c>
      <c r="B55" s="202"/>
      <c r="C55" s="202"/>
      <c r="D55" s="202"/>
      <c r="E55" s="203"/>
      <c r="F55" s="190"/>
      <c r="G55" s="191"/>
      <c r="H55" s="115"/>
    </row>
    <row r="56" spans="1:8" s="81" customFormat="1" ht="28.5" customHeight="1" x14ac:dyDescent="0.2">
      <c r="A56" s="187"/>
      <c r="B56" s="188"/>
      <c r="C56" s="188"/>
      <c r="D56" s="188"/>
      <c r="E56" s="189"/>
      <c r="F56" s="190" t="s">
        <v>39</v>
      </c>
      <c r="G56" s="191"/>
      <c r="H56" s="118" t="s">
        <v>40</v>
      </c>
    </row>
    <row r="57" spans="1:8" s="81" customFormat="1" ht="54" customHeight="1" x14ac:dyDescent="0.2">
      <c r="A57" s="79"/>
      <c r="B57" s="192" t="s">
        <v>41</v>
      </c>
      <c r="C57" s="192"/>
      <c r="D57" s="192"/>
      <c r="E57" s="80"/>
      <c r="F57" s="193" t="s">
        <v>42</v>
      </c>
      <c r="G57" s="194"/>
      <c r="H57" s="118" t="s">
        <v>43</v>
      </c>
    </row>
    <row r="58" spans="1:8" s="81" customFormat="1" ht="13.5" thickBot="1" x14ac:dyDescent="0.25">
      <c r="A58" s="82"/>
      <c r="B58" s="83"/>
      <c r="C58" s="83"/>
      <c r="D58" s="84"/>
      <c r="E58" s="169"/>
      <c r="F58" s="86"/>
      <c r="G58" s="119"/>
      <c r="H58" s="120"/>
    </row>
  </sheetData>
  <mergeCells count="18">
    <mergeCell ref="H31:H32"/>
    <mergeCell ref="A55:E55"/>
    <mergeCell ref="F55:G55"/>
    <mergeCell ref="A2:H2"/>
    <mergeCell ref="A3:E3"/>
    <mergeCell ref="B4:C4"/>
    <mergeCell ref="A5:F5"/>
    <mergeCell ref="G5:H5"/>
    <mergeCell ref="B30:C30"/>
    <mergeCell ref="F30:H30"/>
    <mergeCell ref="A56:E56"/>
    <mergeCell ref="F56:G56"/>
    <mergeCell ref="B57:D57"/>
    <mergeCell ref="F57:G57"/>
    <mergeCell ref="B31:B32"/>
    <mergeCell ref="C31:C32"/>
    <mergeCell ref="F31:F32"/>
    <mergeCell ref="G31:G32"/>
  </mergeCells>
  <phoneticPr fontId="19" type="noConversion"/>
  <pageMargins left="0.25" right="0.25" top="0.75" bottom="0.75" header="0.3" footer="0.3"/>
  <pageSetup scale="7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CA23-0621-4297-8942-D5B920181DAC}">
  <sheetPr>
    <pageSetUpPr fitToPage="1"/>
  </sheetPr>
  <dimension ref="A1:H56"/>
  <sheetViews>
    <sheetView topLeftCell="B1" workbookViewId="0">
      <selection activeCell="H4" sqref="H4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1.71093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3.42578125" style="122" customWidth="1"/>
    <col min="9" max="9" width="2.42578125" style="7" customWidth="1"/>
    <col min="10" max="10" width="9" style="7"/>
    <col min="11" max="12" width="10.85546875" style="7" bestFit="1" customWidth="1"/>
    <col min="13" max="256" width="9" style="7"/>
    <col min="257" max="257" width="12" style="7" customWidth="1"/>
    <col min="258" max="258" width="16.5703125" style="7" customWidth="1"/>
    <col min="259" max="260" width="14.5703125" style="7" customWidth="1"/>
    <col min="261" max="261" width="13.85546875" style="7" customWidth="1"/>
    <col min="262" max="262" width="13.28515625" style="7" customWidth="1"/>
    <col min="263" max="263" width="18.85546875" style="7" customWidth="1"/>
    <col min="264" max="264" width="24.42578125" style="7" customWidth="1"/>
    <col min="265" max="265" width="2.42578125" style="7" customWidth="1"/>
    <col min="266" max="512" width="9" style="7"/>
    <col min="513" max="513" width="12" style="7" customWidth="1"/>
    <col min="514" max="514" width="16.5703125" style="7" customWidth="1"/>
    <col min="515" max="516" width="14.5703125" style="7" customWidth="1"/>
    <col min="517" max="517" width="13.85546875" style="7" customWidth="1"/>
    <col min="518" max="518" width="13.28515625" style="7" customWidth="1"/>
    <col min="519" max="519" width="18.85546875" style="7" customWidth="1"/>
    <col min="520" max="520" width="24.42578125" style="7" customWidth="1"/>
    <col min="521" max="521" width="2.42578125" style="7" customWidth="1"/>
    <col min="522" max="768" width="9" style="7"/>
    <col min="769" max="769" width="12" style="7" customWidth="1"/>
    <col min="770" max="770" width="16.5703125" style="7" customWidth="1"/>
    <col min="771" max="772" width="14.5703125" style="7" customWidth="1"/>
    <col min="773" max="773" width="13.85546875" style="7" customWidth="1"/>
    <col min="774" max="774" width="13.28515625" style="7" customWidth="1"/>
    <col min="775" max="775" width="18.85546875" style="7" customWidth="1"/>
    <col min="776" max="776" width="24.42578125" style="7" customWidth="1"/>
    <col min="777" max="777" width="2.42578125" style="7" customWidth="1"/>
    <col min="778" max="1024" width="9" style="7"/>
    <col min="1025" max="1025" width="12" style="7" customWidth="1"/>
    <col min="1026" max="1026" width="16.5703125" style="7" customWidth="1"/>
    <col min="1027" max="1028" width="14.5703125" style="7" customWidth="1"/>
    <col min="1029" max="1029" width="13.85546875" style="7" customWidth="1"/>
    <col min="1030" max="1030" width="13.28515625" style="7" customWidth="1"/>
    <col min="1031" max="1031" width="18.85546875" style="7" customWidth="1"/>
    <col min="1032" max="1032" width="24.42578125" style="7" customWidth="1"/>
    <col min="1033" max="1033" width="2.42578125" style="7" customWidth="1"/>
    <col min="1034" max="1280" width="9" style="7"/>
    <col min="1281" max="1281" width="12" style="7" customWidth="1"/>
    <col min="1282" max="1282" width="16.5703125" style="7" customWidth="1"/>
    <col min="1283" max="1284" width="14.5703125" style="7" customWidth="1"/>
    <col min="1285" max="1285" width="13.85546875" style="7" customWidth="1"/>
    <col min="1286" max="1286" width="13.28515625" style="7" customWidth="1"/>
    <col min="1287" max="1287" width="18.85546875" style="7" customWidth="1"/>
    <col min="1288" max="1288" width="24.42578125" style="7" customWidth="1"/>
    <col min="1289" max="1289" width="2.42578125" style="7" customWidth="1"/>
    <col min="1290" max="1536" width="9" style="7"/>
    <col min="1537" max="1537" width="12" style="7" customWidth="1"/>
    <col min="1538" max="1538" width="16.5703125" style="7" customWidth="1"/>
    <col min="1539" max="1540" width="14.5703125" style="7" customWidth="1"/>
    <col min="1541" max="1541" width="13.85546875" style="7" customWidth="1"/>
    <col min="1542" max="1542" width="13.28515625" style="7" customWidth="1"/>
    <col min="1543" max="1543" width="18.85546875" style="7" customWidth="1"/>
    <col min="1544" max="1544" width="24.42578125" style="7" customWidth="1"/>
    <col min="1545" max="1545" width="2.42578125" style="7" customWidth="1"/>
    <col min="1546" max="1792" width="9" style="7"/>
    <col min="1793" max="1793" width="12" style="7" customWidth="1"/>
    <col min="1794" max="1794" width="16.5703125" style="7" customWidth="1"/>
    <col min="1795" max="1796" width="14.5703125" style="7" customWidth="1"/>
    <col min="1797" max="1797" width="13.85546875" style="7" customWidth="1"/>
    <col min="1798" max="1798" width="13.28515625" style="7" customWidth="1"/>
    <col min="1799" max="1799" width="18.85546875" style="7" customWidth="1"/>
    <col min="1800" max="1800" width="24.42578125" style="7" customWidth="1"/>
    <col min="1801" max="1801" width="2.42578125" style="7" customWidth="1"/>
    <col min="1802" max="2048" width="9" style="7"/>
    <col min="2049" max="2049" width="12" style="7" customWidth="1"/>
    <col min="2050" max="2050" width="16.5703125" style="7" customWidth="1"/>
    <col min="2051" max="2052" width="14.5703125" style="7" customWidth="1"/>
    <col min="2053" max="2053" width="13.85546875" style="7" customWidth="1"/>
    <col min="2054" max="2054" width="13.28515625" style="7" customWidth="1"/>
    <col min="2055" max="2055" width="18.85546875" style="7" customWidth="1"/>
    <col min="2056" max="2056" width="24.42578125" style="7" customWidth="1"/>
    <col min="2057" max="2057" width="2.42578125" style="7" customWidth="1"/>
    <col min="2058" max="2304" width="9" style="7"/>
    <col min="2305" max="2305" width="12" style="7" customWidth="1"/>
    <col min="2306" max="2306" width="16.5703125" style="7" customWidth="1"/>
    <col min="2307" max="2308" width="14.5703125" style="7" customWidth="1"/>
    <col min="2309" max="2309" width="13.85546875" style="7" customWidth="1"/>
    <col min="2310" max="2310" width="13.28515625" style="7" customWidth="1"/>
    <col min="2311" max="2311" width="18.85546875" style="7" customWidth="1"/>
    <col min="2312" max="2312" width="24.42578125" style="7" customWidth="1"/>
    <col min="2313" max="2313" width="2.42578125" style="7" customWidth="1"/>
    <col min="2314" max="2560" width="9" style="7"/>
    <col min="2561" max="2561" width="12" style="7" customWidth="1"/>
    <col min="2562" max="2562" width="16.5703125" style="7" customWidth="1"/>
    <col min="2563" max="2564" width="14.5703125" style="7" customWidth="1"/>
    <col min="2565" max="2565" width="13.85546875" style="7" customWidth="1"/>
    <col min="2566" max="2566" width="13.28515625" style="7" customWidth="1"/>
    <col min="2567" max="2567" width="18.85546875" style="7" customWidth="1"/>
    <col min="2568" max="2568" width="24.42578125" style="7" customWidth="1"/>
    <col min="2569" max="2569" width="2.42578125" style="7" customWidth="1"/>
    <col min="2570" max="2816" width="9" style="7"/>
    <col min="2817" max="2817" width="12" style="7" customWidth="1"/>
    <col min="2818" max="2818" width="16.5703125" style="7" customWidth="1"/>
    <col min="2819" max="2820" width="14.5703125" style="7" customWidth="1"/>
    <col min="2821" max="2821" width="13.85546875" style="7" customWidth="1"/>
    <col min="2822" max="2822" width="13.28515625" style="7" customWidth="1"/>
    <col min="2823" max="2823" width="18.85546875" style="7" customWidth="1"/>
    <col min="2824" max="2824" width="24.42578125" style="7" customWidth="1"/>
    <col min="2825" max="2825" width="2.42578125" style="7" customWidth="1"/>
    <col min="2826" max="3072" width="9" style="7"/>
    <col min="3073" max="3073" width="12" style="7" customWidth="1"/>
    <col min="3074" max="3074" width="16.5703125" style="7" customWidth="1"/>
    <col min="3075" max="3076" width="14.5703125" style="7" customWidth="1"/>
    <col min="3077" max="3077" width="13.85546875" style="7" customWidth="1"/>
    <col min="3078" max="3078" width="13.28515625" style="7" customWidth="1"/>
    <col min="3079" max="3079" width="18.85546875" style="7" customWidth="1"/>
    <col min="3080" max="3080" width="24.42578125" style="7" customWidth="1"/>
    <col min="3081" max="3081" width="2.42578125" style="7" customWidth="1"/>
    <col min="3082" max="3328" width="9" style="7"/>
    <col min="3329" max="3329" width="12" style="7" customWidth="1"/>
    <col min="3330" max="3330" width="16.5703125" style="7" customWidth="1"/>
    <col min="3331" max="3332" width="14.5703125" style="7" customWidth="1"/>
    <col min="3333" max="3333" width="13.85546875" style="7" customWidth="1"/>
    <col min="3334" max="3334" width="13.28515625" style="7" customWidth="1"/>
    <col min="3335" max="3335" width="18.85546875" style="7" customWidth="1"/>
    <col min="3336" max="3336" width="24.42578125" style="7" customWidth="1"/>
    <col min="3337" max="3337" width="2.42578125" style="7" customWidth="1"/>
    <col min="3338" max="3584" width="9" style="7"/>
    <col min="3585" max="3585" width="12" style="7" customWidth="1"/>
    <col min="3586" max="3586" width="16.5703125" style="7" customWidth="1"/>
    <col min="3587" max="3588" width="14.5703125" style="7" customWidth="1"/>
    <col min="3589" max="3589" width="13.85546875" style="7" customWidth="1"/>
    <col min="3590" max="3590" width="13.28515625" style="7" customWidth="1"/>
    <col min="3591" max="3591" width="18.85546875" style="7" customWidth="1"/>
    <col min="3592" max="3592" width="24.42578125" style="7" customWidth="1"/>
    <col min="3593" max="3593" width="2.42578125" style="7" customWidth="1"/>
    <col min="3594" max="3840" width="9" style="7"/>
    <col min="3841" max="3841" width="12" style="7" customWidth="1"/>
    <col min="3842" max="3842" width="16.5703125" style="7" customWidth="1"/>
    <col min="3843" max="3844" width="14.5703125" style="7" customWidth="1"/>
    <col min="3845" max="3845" width="13.85546875" style="7" customWidth="1"/>
    <col min="3846" max="3846" width="13.28515625" style="7" customWidth="1"/>
    <col min="3847" max="3847" width="18.85546875" style="7" customWidth="1"/>
    <col min="3848" max="3848" width="24.42578125" style="7" customWidth="1"/>
    <col min="3849" max="3849" width="2.42578125" style="7" customWidth="1"/>
    <col min="3850" max="4096" width="9" style="7"/>
    <col min="4097" max="4097" width="12" style="7" customWidth="1"/>
    <col min="4098" max="4098" width="16.5703125" style="7" customWidth="1"/>
    <col min="4099" max="4100" width="14.5703125" style="7" customWidth="1"/>
    <col min="4101" max="4101" width="13.85546875" style="7" customWidth="1"/>
    <col min="4102" max="4102" width="13.28515625" style="7" customWidth="1"/>
    <col min="4103" max="4103" width="18.85546875" style="7" customWidth="1"/>
    <col min="4104" max="4104" width="24.42578125" style="7" customWidth="1"/>
    <col min="4105" max="4105" width="2.42578125" style="7" customWidth="1"/>
    <col min="4106" max="4352" width="9" style="7"/>
    <col min="4353" max="4353" width="12" style="7" customWidth="1"/>
    <col min="4354" max="4354" width="16.5703125" style="7" customWidth="1"/>
    <col min="4355" max="4356" width="14.5703125" style="7" customWidth="1"/>
    <col min="4357" max="4357" width="13.85546875" style="7" customWidth="1"/>
    <col min="4358" max="4358" width="13.28515625" style="7" customWidth="1"/>
    <col min="4359" max="4359" width="18.85546875" style="7" customWidth="1"/>
    <col min="4360" max="4360" width="24.42578125" style="7" customWidth="1"/>
    <col min="4361" max="4361" width="2.42578125" style="7" customWidth="1"/>
    <col min="4362" max="4608" width="9" style="7"/>
    <col min="4609" max="4609" width="12" style="7" customWidth="1"/>
    <col min="4610" max="4610" width="16.5703125" style="7" customWidth="1"/>
    <col min="4611" max="4612" width="14.5703125" style="7" customWidth="1"/>
    <col min="4613" max="4613" width="13.85546875" style="7" customWidth="1"/>
    <col min="4614" max="4614" width="13.28515625" style="7" customWidth="1"/>
    <col min="4615" max="4615" width="18.85546875" style="7" customWidth="1"/>
    <col min="4616" max="4616" width="24.42578125" style="7" customWidth="1"/>
    <col min="4617" max="4617" width="2.42578125" style="7" customWidth="1"/>
    <col min="4618" max="4864" width="9" style="7"/>
    <col min="4865" max="4865" width="12" style="7" customWidth="1"/>
    <col min="4866" max="4866" width="16.5703125" style="7" customWidth="1"/>
    <col min="4867" max="4868" width="14.5703125" style="7" customWidth="1"/>
    <col min="4869" max="4869" width="13.85546875" style="7" customWidth="1"/>
    <col min="4870" max="4870" width="13.28515625" style="7" customWidth="1"/>
    <col min="4871" max="4871" width="18.85546875" style="7" customWidth="1"/>
    <col min="4872" max="4872" width="24.42578125" style="7" customWidth="1"/>
    <col min="4873" max="4873" width="2.42578125" style="7" customWidth="1"/>
    <col min="4874" max="5120" width="9" style="7"/>
    <col min="5121" max="5121" width="12" style="7" customWidth="1"/>
    <col min="5122" max="5122" width="16.5703125" style="7" customWidth="1"/>
    <col min="5123" max="5124" width="14.5703125" style="7" customWidth="1"/>
    <col min="5125" max="5125" width="13.85546875" style="7" customWidth="1"/>
    <col min="5126" max="5126" width="13.28515625" style="7" customWidth="1"/>
    <col min="5127" max="5127" width="18.85546875" style="7" customWidth="1"/>
    <col min="5128" max="5128" width="24.42578125" style="7" customWidth="1"/>
    <col min="5129" max="5129" width="2.42578125" style="7" customWidth="1"/>
    <col min="5130" max="5376" width="9" style="7"/>
    <col min="5377" max="5377" width="12" style="7" customWidth="1"/>
    <col min="5378" max="5378" width="16.5703125" style="7" customWidth="1"/>
    <col min="5379" max="5380" width="14.5703125" style="7" customWidth="1"/>
    <col min="5381" max="5381" width="13.85546875" style="7" customWidth="1"/>
    <col min="5382" max="5382" width="13.28515625" style="7" customWidth="1"/>
    <col min="5383" max="5383" width="18.85546875" style="7" customWidth="1"/>
    <col min="5384" max="5384" width="24.42578125" style="7" customWidth="1"/>
    <col min="5385" max="5385" width="2.42578125" style="7" customWidth="1"/>
    <col min="5386" max="5632" width="9" style="7"/>
    <col min="5633" max="5633" width="12" style="7" customWidth="1"/>
    <col min="5634" max="5634" width="16.5703125" style="7" customWidth="1"/>
    <col min="5635" max="5636" width="14.5703125" style="7" customWidth="1"/>
    <col min="5637" max="5637" width="13.85546875" style="7" customWidth="1"/>
    <col min="5638" max="5638" width="13.28515625" style="7" customWidth="1"/>
    <col min="5639" max="5639" width="18.85546875" style="7" customWidth="1"/>
    <col min="5640" max="5640" width="24.42578125" style="7" customWidth="1"/>
    <col min="5641" max="5641" width="2.42578125" style="7" customWidth="1"/>
    <col min="5642" max="5888" width="9" style="7"/>
    <col min="5889" max="5889" width="12" style="7" customWidth="1"/>
    <col min="5890" max="5890" width="16.5703125" style="7" customWidth="1"/>
    <col min="5891" max="5892" width="14.5703125" style="7" customWidth="1"/>
    <col min="5893" max="5893" width="13.85546875" style="7" customWidth="1"/>
    <col min="5894" max="5894" width="13.28515625" style="7" customWidth="1"/>
    <col min="5895" max="5895" width="18.85546875" style="7" customWidth="1"/>
    <col min="5896" max="5896" width="24.42578125" style="7" customWidth="1"/>
    <col min="5897" max="5897" width="2.42578125" style="7" customWidth="1"/>
    <col min="5898" max="6144" width="9" style="7"/>
    <col min="6145" max="6145" width="12" style="7" customWidth="1"/>
    <col min="6146" max="6146" width="16.5703125" style="7" customWidth="1"/>
    <col min="6147" max="6148" width="14.5703125" style="7" customWidth="1"/>
    <col min="6149" max="6149" width="13.85546875" style="7" customWidth="1"/>
    <col min="6150" max="6150" width="13.28515625" style="7" customWidth="1"/>
    <col min="6151" max="6151" width="18.85546875" style="7" customWidth="1"/>
    <col min="6152" max="6152" width="24.42578125" style="7" customWidth="1"/>
    <col min="6153" max="6153" width="2.42578125" style="7" customWidth="1"/>
    <col min="6154" max="6400" width="9" style="7"/>
    <col min="6401" max="6401" width="12" style="7" customWidth="1"/>
    <col min="6402" max="6402" width="16.5703125" style="7" customWidth="1"/>
    <col min="6403" max="6404" width="14.5703125" style="7" customWidth="1"/>
    <col min="6405" max="6405" width="13.85546875" style="7" customWidth="1"/>
    <col min="6406" max="6406" width="13.28515625" style="7" customWidth="1"/>
    <col min="6407" max="6407" width="18.85546875" style="7" customWidth="1"/>
    <col min="6408" max="6408" width="24.42578125" style="7" customWidth="1"/>
    <col min="6409" max="6409" width="2.42578125" style="7" customWidth="1"/>
    <col min="6410" max="6656" width="9" style="7"/>
    <col min="6657" max="6657" width="12" style="7" customWidth="1"/>
    <col min="6658" max="6658" width="16.5703125" style="7" customWidth="1"/>
    <col min="6659" max="6660" width="14.5703125" style="7" customWidth="1"/>
    <col min="6661" max="6661" width="13.85546875" style="7" customWidth="1"/>
    <col min="6662" max="6662" width="13.28515625" style="7" customWidth="1"/>
    <col min="6663" max="6663" width="18.85546875" style="7" customWidth="1"/>
    <col min="6664" max="6664" width="24.42578125" style="7" customWidth="1"/>
    <col min="6665" max="6665" width="2.42578125" style="7" customWidth="1"/>
    <col min="6666" max="6912" width="9" style="7"/>
    <col min="6913" max="6913" width="12" style="7" customWidth="1"/>
    <col min="6914" max="6914" width="16.5703125" style="7" customWidth="1"/>
    <col min="6915" max="6916" width="14.5703125" style="7" customWidth="1"/>
    <col min="6917" max="6917" width="13.85546875" style="7" customWidth="1"/>
    <col min="6918" max="6918" width="13.28515625" style="7" customWidth="1"/>
    <col min="6919" max="6919" width="18.85546875" style="7" customWidth="1"/>
    <col min="6920" max="6920" width="24.42578125" style="7" customWidth="1"/>
    <col min="6921" max="6921" width="2.42578125" style="7" customWidth="1"/>
    <col min="6922" max="7168" width="9" style="7"/>
    <col min="7169" max="7169" width="12" style="7" customWidth="1"/>
    <col min="7170" max="7170" width="16.5703125" style="7" customWidth="1"/>
    <col min="7171" max="7172" width="14.5703125" style="7" customWidth="1"/>
    <col min="7173" max="7173" width="13.85546875" style="7" customWidth="1"/>
    <col min="7174" max="7174" width="13.28515625" style="7" customWidth="1"/>
    <col min="7175" max="7175" width="18.85546875" style="7" customWidth="1"/>
    <col min="7176" max="7176" width="24.42578125" style="7" customWidth="1"/>
    <col min="7177" max="7177" width="2.42578125" style="7" customWidth="1"/>
    <col min="7178" max="7424" width="9" style="7"/>
    <col min="7425" max="7425" width="12" style="7" customWidth="1"/>
    <col min="7426" max="7426" width="16.5703125" style="7" customWidth="1"/>
    <col min="7427" max="7428" width="14.5703125" style="7" customWidth="1"/>
    <col min="7429" max="7429" width="13.85546875" style="7" customWidth="1"/>
    <col min="7430" max="7430" width="13.28515625" style="7" customWidth="1"/>
    <col min="7431" max="7431" width="18.85546875" style="7" customWidth="1"/>
    <col min="7432" max="7432" width="24.42578125" style="7" customWidth="1"/>
    <col min="7433" max="7433" width="2.42578125" style="7" customWidth="1"/>
    <col min="7434" max="7680" width="9" style="7"/>
    <col min="7681" max="7681" width="12" style="7" customWidth="1"/>
    <col min="7682" max="7682" width="16.5703125" style="7" customWidth="1"/>
    <col min="7683" max="7684" width="14.5703125" style="7" customWidth="1"/>
    <col min="7685" max="7685" width="13.85546875" style="7" customWidth="1"/>
    <col min="7686" max="7686" width="13.28515625" style="7" customWidth="1"/>
    <col min="7687" max="7687" width="18.85546875" style="7" customWidth="1"/>
    <col min="7688" max="7688" width="24.42578125" style="7" customWidth="1"/>
    <col min="7689" max="7689" width="2.42578125" style="7" customWidth="1"/>
    <col min="7690" max="7936" width="9" style="7"/>
    <col min="7937" max="7937" width="12" style="7" customWidth="1"/>
    <col min="7938" max="7938" width="16.5703125" style="7" customWidth="1"/>
    <col min="7939" max="7940" width="14.5703125" style="7" customWidth="1"/>
    <col min="7941" max="7941" width="13.85546875" style="7" customWidth="1"/>
    <col min="7942" max="7942" width="13.28515625" style="7" customWidth="1"/>
    <col min="7943" max="7943" width="18.85546875" style="7" customWidth="1"/>
    <col min="7944" max="7944" width="24.42578125" style="7" customWidth="1"/>
    <col min="7945" max="7945" width="2.42578125" style="7" customWidth="1"/>
    <col min="7946" max="8192" width="9" style="7"/>
    <col min="8193" max="8193" width="12" style="7" customWidth="1"/>
    <col min="8194" max="8194" width="16.5703125" style="7" customWidth="1"/>
    <col min="8195" max="8196" width="14.5703125" style="7" customWidth="1"/>
    <col min="8197" max="8197" width="13.85546875" style="7" customWidth="1"/>
    <col min="8198" max="8198" width="13.28515625" style="7" customWidth="1"/>
    <col min="8199" max="8199" width="18.85546875" style="7" customWidth="1"/>
    <col min="8200" max="8200" width="24.42578125" style="7" customWidth="1"/>
    <col min="8201" max="8201" width="2.42578125" style="7" customWidth="1"/>
    <col min="8202" max="8448" width="9" style="7"/>
    <col min="8449" max="8449" width="12" style="7" customWidth="1"/>
    <col min="8450" max="8450" width="16.5703125" style="7" customWidth="1"/>
    <col min="8451" max="8452" width="14.5703125" style="7" customWidth="1"/>
    <col min="8453" max="8453" width="13.85546875" style="7" customWidth="1"/>
    <col min="8454" max="8454" width="13.28515625" style="7" customWidth="1"/>
    <col min="8455" max="8455" width="18.85546875" style="7" customWidth="1"/>
    <col min="8456" max="8456" width="24.42578125" style="7" customWidth="1"/>
    <col min="8457" max="8457" width="2.42578125" style="7" customWidth="1"/>
    <col min="8458" max="8704" width="9" style="7"/>
    <col min="8705" max="8705" width="12" style="7" customWidth="1"/>
    <col min="8706" max="8706" width="16.5703125" style="7" customWidth="1"/>
    <col min="8707" max="8708" width="14.5703125" style="7" customWidth="1"/>
    <col min="8709" max="8709" width="13.85546875" style="7" customWidth="1"/>
    <col min="8710" max="8710" width="13.28515625" style="7" customWidth="1"/>
    <col min="8711" max="8711" width="18.85546875" style="7" customWidth="1"/>
    <col min="8712" max="8712" width="24.42578125" style="7" customWidth="1"/>
    <col min="8713" max="8713" width="2.42578125" style="7" customWidth="1"/>
    <col min="8714" max="8960" width="9" style="7"/>
    <col min="8961" max="8961" width="12" style="7" customWidth="1"/>
    <col min="8962" max="8962" width="16.5703125" style="7" customWidth="1"/>
    <col min="8963" max="8964" width="14.5703125" style="7" customWidth="1"/>
    <col min="8965" max="8965" width="13.85546875" style="7" customWidth="1"/>
    <col min="8966" max="8966" width="13.28515625" style="7" customWidth="1"/>
    <col min="8967" max="8967" width="18.85546875" style="7" customWidth="1"/>
    <col min="8968" max="8968" width="24.42578125" style="7" customWidth="1"/>
    <col min="8969" max="8969" width="2.42578125" style="7" customWidth="1"/>
    <col min="8970" max="9216" width="9" style="7"/>
    <col min="9217" max="9217" width="12" style="7" customWidth="1"/>
    <col min="9218" max="9218" width="16.5703125" style="7" customWidth="1"/>
    <col min="9219" max="9220" width="14.5703125" style="7" customWidth="1"/>
    <col min="9221" max="9221" width="13.85546875" style="7" customWidth="1"/>
    <col min="9222" max="9222" width="13.28515625" style="7" customWidth="1"/>
    <col min="9223" max="9223" width="18.85546875" style="7" customWidth="1"/>
    <col min="9224" max="9224" width="24.42578125" style="7" customWidth="1"/>
    <col min="9225" max="9225" width="2.42578125" style="7" customWidth="1"/>
    <col min="9226" max="9472" width="9" style="7"/>
    <col min="9473" max="9473" width="12" style="7" customWidth="1"/>
    <col min="9474" max="9474" width="16.5703125" style="7" customWidth="1"/>
    <col min="9475" max="9476" width="14.5703125" style="7" customWidth="1"/>
    <col min="9477" max="9477" width="13.85546875" style="7" customWidth="1"/>
    <col min="9478" max="9478" width="13.28515625" style="7" customWidth="1"/>
    <col min="9479" max="9479" width="18.85546875" style="7" customWidth="1"/>
    <col min="9480" max="9480" width="24.42578125" style="7" customWidth="1"/>
    <col min="9481" max="9481" width="2.42578125" style="7" customWidth="1"/>
    <col min="9482" max="9728" width="9" style="7"/>
    <col min="9729" max="9729" width="12" style="7" customWidth="1"/>
    <col min="9730" max="9730" width="16.5703125" style="7" customWidth="1"/>
    <col min="9731" max="9732" width="14.5703125" style="7" customWidth="1"/>
    <col min="9733" max="9733" width="13.85546875" style="7" customWidth="1"/>
    <col min="9734" max="9734" width="13.28515625" style="7" customWidth="1"/>
    <col min="9735" max="9735" width="18.85546875" style="7" customWidth="1"/>
    <col min="9736" max="9736" width="24.42578125" style="7" customWidth="1"/>
    <col min="9737" max="9737" width="2.42578125" style="7" customWidth="1"/>
    <col min="9738" max="9984" width="9" style="7"/>
    <col min="9985" max="9985" width="12" style="7" customWidth="1"/>
    <col min="9986" max="9986" width="16.5703125" style="7" customWidth="1"/>
    <col min="9987" max="9988" width="14.5703125" style="7" customWidth="1"/>
    <col min="9989" max="9989" width="13.85546875" style="7" customWidth="1"/>
    <col min="9990" max="9990" width="13.28515625" style="7" customWidth="1"/>
    <col min="9991" max="9991" width="18.85546875" style="7" customWidth="1"/>
    <col min="9992" max="9992" width="24.42578125" style="7" customWidth="1"/>
    <col min="9993" max="9993" width="2.42578125" style="7" customWidth="1"/>
    <col min="9994" max="10240" width="9" style="7"/>
    <col min="10241" max="10241" width="12" style="7" customWidth="1"/>
    <col min="10242" max="10242" width="16.5703125" style="7" customWidth="1"/>
    <col min="10243" max="10244" width="14.5703125" style="7" customWidth="1"/>
    <col min="10245" max="10245" width="13.85546875" style="7" customWidth="1"/>
    <col min="10246" max="10246" width="13.28515625" style="7" customWidth="1"/>
    <col min="10247" max="10247" width="18.85546875" style="7" customWidth="1"/>
    <col min="10248" max="10248" width="24.42578125" style="7" customWidth="1"/>
    <col min="10249" max="10249" width="2.42578125" style="7" customWidth="1"/>
    <col min="10250" max="10496" width="9" style="7"/>
    <col min="10497" max="10497" width="12" style="7" customWidth="1"/>
    <col min="10498" max="10498" width="16.5703125" style="7" customWidth="1"/>
    <col min="10499" max="10500" width="14.5703125" style="7" customWidth="1"/>
    <col min="10501" max="10501" width="13.85546875" style="7" customWidth="1"/>
    <col min="10502" max="10502" width="13.28515625" style="7" customWidth="1"/>
    <col min="10503" max="10503" width="18.85546875" style="7" customWidth="1"/>
    <col min="10504" max="10504" width="24.42578125" style="7" customWidth="1"/>
    <col min="10505" max="10505" width="2.42578125" style="7" customWidth="1"/>
    <col min="10506" max="10752" width="9" style="7"/>
    <col min="10753" max="10753" width="12" style="7" customWidth="1"/>
    <col min="10754" max="10754" width="16.5703125" style="7" customWidth="1"/>
    <col min="10755" max="10756" width="14.5703125" style="7" customWidth="1"/>
    <col min="10757" max="10757" width="13.85546875" style="7" customWidth="1"/>
    <col min="10758" max="10758" width="13.28515625" style="7" customWidth="1"/>
    <col min="10759" max="10759" width="18.85546875" style="7" customWidth="1"/>
    <col min="10760" max="10760" width="24.42578125" style="7" customWidth="1"/>
    <col min="10761" max="10761" width="2.42578125" style="7" customWidth="1"/>
    <col min="10762" max="11008" width="9" style="7"/>
    <col min="11009" max="11009" width="12" style="7" customWidth="1"/>
    <col min="11010" max="11010" width="16.5703125" style="7" customWidth="1"/>
    <col min="11011" max="11012" width="14.5703125" style="7" customWidth="1"/>
    <col min="11013" max="11013" width="13.85546875" style="7" customWidth="1"/>
    <col min="11014" max="11014" width="13.28515625" style="7" customWidth="1"/>
    <col min="11015" max="11015" width="18.85546875" style="7" customWidth="1"/>
    <col min="11016" max="11016" width="24.42578125" style="7" customWidth="1"/>
    <col min="11017" max="11017" width="2.42578125" style="7" customWidth="1"/>
    <col min="11018" max="11264" width="9" style="7"/>
    <col min="11265" max="11265" width="12" style="7" customWidth="1"/>
    <col min="11266" max="11266" width="16.5703125" style="7" customWidth="1"/>
    <col min="11267" max="11268" width="14.5703125" style="7" customWidth="1"/>
    <col min="11269" max="11269" width="13.85546875" style="7" customWidth="1"/>
    <col min="11270" max="11270" width="13.28515625" style="7" customWidth="1"/>
    <col min="11271" max="11271" width="18.85546875" style="7" customWidth="1"/>
    <col min="11272" max="11272" width="24.42578125" style="7" customWidth="1"/>
    <col min="11273" max="11273" width="2.42578125" style="7" customWidth="1"/>
    <col min="11274" max="11520" width="9" style="7"/>
    <col min="11521" max="11521" width="12" style="7" customWidth="1"/>
    <col min="11522" max="11522" width="16.5703125" style="7" customWidth="1"/>
    <col min="11523" max="11524" width="14.5703125" style="7" customWidth="1"/>
    <col min="11525" max="11525" width="13.85546875" style="7" customWidth="1"/>
    <col min="11526" max="11526" width="13.28515625" style="7" customWidth="1"/>
    <col min="11527" max="11527" width="18.85546875" style="7" customWidth="1"/>
    <col min="11528" max="11528" width="24.42578125" style="7" customWidth="1"/>
    <col min="11529" max="11529" width="2.42578125" style="7" customWidth="1"/>
    <col min="11530" max="11776" width="9" style="7"/>
    <col min="11777" max="11777" width="12" style="7" customWidth="1"/>
    <col min="11778" max="11778" width="16.5703125" style="7" customWidth="1"/>
    <col min="11779" max="11780" width="14.5703125" style="7" customWidth="1"/>
    <col min="11781" max="11781" width="13.85546875" style="7" customWidth="1"/>
    <col min="11782" max="11782" width="13.28515625" style="7" customWidth="1"/>
    <col min="11783" max="11783" width="18.85546875" style="7" customWidth="1"/>
    <col min="11784" max="11784" width="24.42578125" style="7" customWidth="1"/>
    <col min="11785" max="11785" width="2.42578125" style="7" customWidth="1"/>
    <col min="11786" max="12032" width="9" style="7"/>
    <col min="12033" max="12033" width="12" style="7" customWidth="1"/>
    <col min="12034" max="12034" width="16.5703125" style="7" customWidth="1"/>
    <col min="12035" max="12036" width="14.5703125" style="7" customWidth="1"/>
    <col min="12037" max="12037" width="13.85546875" style="7" customWidth="1"/>
    <col min="12038" max="12038" width="13.28515625" style="7" customWidth="1"/>
    <col min="12039" max="12039" width="18.85546875" style="7" customWidth="1"/>
    <col min="12040" max="12040" width="24.42578125" style="7" customWidth="1"/>
    <col min="12041" max="12041" width="2.42578125" style="7" customWidth="1"/>
    <col min="12042" max="12288" width="9" style="7"/>
    <col min="12289" max="12289" width="12" style="7" customWidth="1"/>
    <col min="12290" max="12290" width="16.5703125" style="7" customWidth="1"/>
    <col min="12291" max="12292" width="14.5703125" style="7" customWidth="1"/>
    <col min="12293" max="12293" width="13.85546875" style="7" customWidth="1"/>
    <col min="12294" max="12294" width="13.28515625" style="7" customWidth="1"/>
    <col min="12295" max="12295" width="18.85546875" style="7" customWidth="1"/>
    <col min="12296" max="12296" width="24.42578125" style="7" customWidth="1"/>
    <col min="12297" max="12297" width="2.42578125" style="7" customWidth="1"/>
    <col min="12298" max="12544" width="9" style="7"/>
    <col min="12545" max="12545" width="12" style="7" customWidth="1"/>
    <col min="12546" max="12546" width="16.5703125" style="7" customWidth="1"/>
    <col min="12547" max="12548" width="14.5703125" style="7" customWidth="1"/>
    <col min="12549" max="12549" width="13.85546875" style="7" customWidth="1"/>
    <col min="12550" max="12550" width="13.28515625" style="7" customWidth="1"/>
    <col min="12551" max="12551" width="18.85546875" style="7" customWidth="1"/>
    <col min="12552" max="12552" width="24.42578125" style="7" customWidth="1"/>
    <col min="12553" max="12553" width="2.42578125" style="7" customWidth="1"/>
    <col min="12554" max="12800" width="9" style="7"/>
    <col min="12801" max="12801" width="12" style="7" customWidth="1"/>
    <col min="12802" max="12802" width="16.5703125" style="7" customWidth="1"/>
    <col min="12803" max="12804" width="14.5703125" style="7" customWidth="1"/>
    <col min="12805" max="12805" width="13.85546875" style="7" customWidth="1"/>
    <col min="12806" max="12806" width="13.28515625" style="7" customWidth="1"/>
    <col min="12807" max="12807" width="18.85546875" style="7" customWidth="1"/>
    <col min="12808" max="12808" width="24.42578125" style="7" customWidth="1"/>
    <col min="12809" max="12809" width="2.42578125" style="7" customWidth="1"/>
    <col min="12810" max="13056" width="9" style="7"/>
    <col min="13057" max="13057" width="12" style="7" customWidth="1"/>
    <col min="13058" max="13058" width="16.5703125" style="7" customWidth="1"/>
    <col min="13059" max="13060" width="14.5703125" style="7" customWidth="1"/>
    <col min="13061" max="13061" width="13.85546875" style="7" customWidth="1"/>
    <col min="13062" max="13062" width="13.28515625" style="7" customWidth="1"/>
    <col min="13063" max="13063" width="18.85546875" style="7" customWidth="1"/>
    <col min="13064" max="13064" width="24.42578125" style="7" customWidth="1"/>
    <col min="13065" max="13065" width="2.42578125" style="7" customWidth="1"/>
    <col min="13066" max="13312" width="9" style="7"/>
    <col min="13313" max="13313" width="12" style="7" customWidth="1"/>
    <col min="13314" max="13314" width="16.5703125" style="7" customWidth="1"/>
    <col min="13315" max="13316" width="14.5703125" style="7" customWidth="1"/>
    <col min="13317" max="13317" width="13.85546875" style="7" customWidth="1"/>
    <col min="13318" max="13318" width="13.28515625" style="7" customWidth="1"/>
    <col min="13319" max="13319" width="18.85546875" style="7" customWidth="1"/>
    <col min="13320" max="13320" width="24.42578125" style="7" customWidth="1"/>
    <col min="13321" max="13321" width="2.42578125" style="7" customWidth="1"/>
    <col min="13322" max="13568" width="9" style="7"/>
    <col min="13569" max="13569" width="12" style="7" customWidth="1"/>
    <col min="13570" max="13570" width="16.5703125" style="7" customWidth="1"/>
    <col min="13571" max="13572" width="14.5703125" style="7" customWidth="1"/>
    <col min="13573" max="13573" width="13.85546875" style="7" customWidth="1"/>
    <col min="13574" max="13574" width="13.28515625" style="7" customWidth="1"/>
    <col min="13575" max="13575" width="18.85546875" style="7" customWidth="1"/>
    <col min="13576" max="13576" width="24.42578125" style="7" customWidth="1"/>
    <col min="13577" max="13577" width="2.42578125" style="7" customWidth="1"/>
    <col min="13578" max="13824" width="9" style="7"/>
    <col min="13825" max="13825" width="12" style="7" customWidth="1"/>
    <col min="13826" max="13826" width="16.5703125" style="7" customWidth="1"/>
    <col min="13827" max="13828" width="14.5703125" style="7" customWidth="1"/>
    <col min="13829" max="13829" width="13.85546875" style="7" customWidth="1"/>
    <col min="13830" max="13830" width="13.28515625" style="7" customWidth="1"/>
    <col min="13831" max="13831" width="18.85546875" style="7" customWidth="1"/>
    <col min="13832" max="13832" width="24.42578125" style="7" customWidth="1"/>
    <col min="13833" max="13833" width="2.42578125" style="7" customWidth="1"/>
    <col min="13834" max="14080" width="9" style="7"/>
    <col min="14081" max="14081" width="12" style="7" customWidth="1"/>
    <col min="14082" max="14082" width="16.5703125" style="7" customWidth="1"/>
    <col min="14083" max="14084" width="14.5703125" style="7" customWidth="1"/>
    <col min="14085" max="14085" width="13.85546875" style="7" customWidth="1"/>
    <col min="14086" max="14086" width="13.28515625" style="7" customWidth="1"/>
    <col min="14087" max="14087" width="18.85546875" style="7" customWidth="1"/>
    <col min="14088" max="14088" width="24.42578125" style="7" customWidth="1"/>
    <col min="14089" max="14089" width="2.42578125" style="7" customWidth="1"/>
    <col min="14090" max="14336" width="9" style="7"/>
    <col min="14337" max="14337" width="12" style="7" customWidth="1"/>
    <col min="14338" max="14338" width="16.5703125" style="7" customWidth="1"/>
    <col min="14339" max="14340" width="14.5703125" style="7" customWidth="1"/>
    <col min="14341" max="14341" width="13.85546875" style="7" customWidth="1"/>
    <col min="14342" max="14342" width="13.28515625" style="7" customWidth="1"/>
    <col min="14343" max="14343" width="18.85546875" style="7" customWidth="1"/>
    <col min="14344" max="14344" width="24.42578125" style="7" customWidth="1"/>
    <col min="14345" max="14345" width="2.42578125" style="7" customWidth="1"/>
    <col min="14346" max="14592" width="9" style="7"/>
    <col min="14593" max="14593" width="12" style="7" customWidth="1"/>
    <col min="14594" max="14594" width="16.5703125" style="7" customWidth="1"/>
    <col min="14595" max="14596" width="14.5703125" style="7" customWidth="1"/>
    <col min="14597" max="14597" width="13.85546875" style="7" customWidth="1"/>
    <col min="14598" max="14598" width="13.28515625" style="7" customWidth="1"/>
    <col min="14599" max="14599" width="18.85546875" style="7" customWidth="1"/>
    <col min="14600" max="14600" width="24.42578125" style="7" customWidth="1"/>
    <col min="14601" max="14601" width="2.42578125" style="7" customWidth="1"/>
    <col min="14602" max="14848" width="9" style="7"/>
    <col min="14849" max="14849" width="12" style="7" customWidth="1"/>
    <col min="14850" max="14850" width="16.5703125" style="7" customWidth="1"/>
    <col min="14851" max="14852" width="14.5703125" style="7" customWidth="1"/>
    <col min="14853" max="14853" width="13.85546875" style="7" customWidth="1"/>
    <col min="14854" max="14854" width="13.28515625" style="7" customWidth="1"/>
    <col min="14855" max="14855" width="18.85546875" style="7" customWidth="1"/>
    <col min="14856" max="14856" width="24.42578125" style="7" customWidth="1"/>
    <col min="14857" max="14857" width="2.42578125" style="7" customWidth="1"/>
    <col min="14858" max="15104" width="9" style="7"/>
    <col min="15105" max="15105" width="12" style="7" customWidth="1"/>
    <col min="15106" max="15106" width="16.5703125" style="7" customWidth="1"/>
    <col min="15107" max="15108" width="14.5703125" style="7" customWidth="1"/>
    <col min="15109" max="15109" width="13.85546875" style="7" customWidth="1"/>
    <col min="15110" max="15110" width="13.28515625" style="7" customWidth="1"/>
    <col min="15111" max="15111" width="18.85546875" style="7" customWidth="1"/>
    <col min="15112" max="15112" width="24.42578125" style="7" customWidth="1"/>
    <col min="15113" max="15113" width="2.42578125" style="7" customWidth="1"/>
    <col min="15114" max="15360" width="9" style="7"/>
    <col min="15361" max="15361" width="12" style="7" customWidth="1"/>
    <col min="15362" max="15362" width="16.5703125" style="7" customWidth="1"/>
    <col min="15363" max="15364" width="14.5703125" style="7" customWidth="1"/>
    <col min="15365" max="15365" width="13.85546875" style="7" customWidth="1"/>
    <col min="15366" max="15366" width="13.28515625" style="7" customWidth="1"/>
    <col min="15367" max="15367" width="18.85546875" style="7" customWidth="1"/>
    <col min="15368" max="15368" width="24.42578125" style="7" customWidth="1"/>
    <col min="15369" max="15369" width="2.42578125" style="7" customWidth="1"/>
    <col min="15370" max="15616" width="9" style="7"/>
    <col min="15617" max="15617" width="12" style="7" customWidth="1"/>
    <col min="15618" max="15618" width="16.5703125" style="7" customWidth="1"/>
    <col min="15619" max="15620" width="14.5703125" style="7" customWidth="1"/>
    <col min="15621" max="15621" width="13.85546875" style="7" customWidth="1"/>
    <col min="15622" max="15622" width="13.28515625" style="7" customWidth="1"/>
    <col min="15623" max="15623" width="18.85546875" style="7" customWidth="1"/>
    <col min="15624" max="15624" width="24.42578125" style="7" customWidth="1"/>
    <col min="15625" max="15625" width="2.42578125" style="7" customWidth="1"/>
    <col min="15626" max="15872" width="9" style="7"/>
    <col min="15873" max="15873" width="12" style="7" customWidth="1"/>
    <col min="15874" max="15874" width="16.5703125" style="7" customWidth="1"/>
    <col min="15875" max="15876" width="14.5703125" style="7" customWidth="1"/>
    <col min="15877" max="15877" width="13.85546875" style="7" customWidth="1"/>
    <col min="15878" max="15878" width="13.28515625" style="7" customWidth="1"/>
    <col min="15879" max="15879" width="18.85546875" style="7" customWidth="1"/>
    <col min="15880" max="15880" width="24.42578125" style="7" customWidth="1"/>
    <col min="15881" max="15881" width="2.42578125" style="7" customWidth="1"/>
    <col min="15882" max="16128" width="9" style="7"/>
    <col min="16129" max="16129" width="12" style="7" customWidth="1"/>
    <col min="16130" max="16130" width="16.5703125" style="7" customWidth="1"/>
    <col min="16131" max="16132" width="14.5703125" style="7" customWidth="1"/>
    <col min="16133" max="16133" width="13.85546875" style="7" customWidth="1"/>
    <col min="16134" max="16134" width="13.28515625" style="7" customWidth="1"/>
    <col min="16135" max="16135" width="18.85546875" style="7" customWidth="1"/>
    <col min="16136" max="16136" width="24.42578125" style="7" customWidth="1"/>
    <col min="16137" max="16137" width="2.42578125" style="7" customWidth="1"/>
    <col min="16138" max="16384" width="9" style="7"/>
  </cols>
  <sheetData>
    <row r="1" spans="1:8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8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8" ht="12" customHeight="1" x14ac:dyDescent="0.2">
      <c r="A3" s="201" t="s">
        <v>2</v>
      </c>
      <c r="B3" s="202"/>
      <c r="C3" s="202"/>
      <c r="D3" s="202"/>
      <c r="E3" s="202"/>
      <c r="F3" s="10"/>
      <c r="G3" s="106" t="s">
        <v>3</v>
      </c>
      <c r="H3" s="107" t="s">
        <v>485</v>
      </c>
    </row>
    <row r="4" spans="1:8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>
        <v>45991</v>
      </c>
    </row>
    <row r="5" spans="1:8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8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8" ht="114.75" customHeight="1" x14ac:dyDescent="0.2">
      <c r="A7" s="43" t="s">
        <v>448</v>
      </c>
      <c r="B7" s="24" t="s">
        <v>449</v>
      </c>
      <c r="C7" s="19" t="s">
        <v>22</v>
      </c>
      <c r="D7" s="25" t="s">
        <v>45</v>
      </c>
      <c r="E7" s="21" t="s">
        <v>54</v>
      </c>
      <c r="F7" s="26">
        <v>19</v>
      </c>
      <c r="G7" s="110"/>
      <c r="H7" s="123">
        <f t="shared" ref="H7:H24" si="0">+G7*F7</f>
        <v>0</v>
      </c>
    </row>
    <row r="8" spans="1:8" ht="55.5" customHeight="1" x14ac:dyDescent="0.2">
      <c r="A8" s="126" t="s">
        <v>450</v>
      </c>
      <c r="B8" s="94" t="s">
        <v>451</v>
      </c>
      <c r="C8" s="19" t="s">
        <v>288</v>
      </c>
      <c r="D8" s="20" t="s">
        <v>232</v>
      </c>
      <c r="E8" s="21" t="s">
        <v>19</v>
      </c>
      <c r="F8" s="26">
        <v>29</v>
      </c>
      <c r="G8" s="110"/>
      <c r="H8" s="123">
        <f t="shared" si="0"/>
        <v>0</v>
      </c>
    </row>
    <row r="9" spans="1:8" ht="63.75" customHeight="1" x14ac:dyDescent="0.2">
      <c r="A9" s="24" t="s">
        <v>452</v>
      </c>
      <c r="B9" s="24" t="s">
        <v>453</v>
      </c>
      <c r="C9" s="19" t="s">
        <v>68</v>
      </c>
      <c r="D9" s="20" t="s">
        <v>69</v>
      </c>
      <c r="E9" s="21" t="s">
        <v>27</v>
      </c>
      <c r="F9" s="26">
        <v>17</v>
      </c>
      <c r="G9" s="110"/>
      <c r="H9" s="123">
        <f t="shared" si="0"/>
        <v>0</v>
      </c>
    </row>
    <row r="10" spans="1:8" ht="41.25" customHeight="1" x14ac:dyDescent="0.2">
      <c r="A10" s="45" t="s">
        <v>454</v>
      </c>
      <c r="B10" s="24" t="s">
        <v>455</v>
      </c>
      <c r="C10" s="186" t="s">
        <v>138</v>
      </c>
      <c r="D10" s="25" t="s">
        <v>139</v>
      </c>
      <c r="E10" s="32" t="s">
        <v>54</v>
      </c>
      <c r="F10" s="26">
        <v>2</v>
      </c>
      <c r="G10" s="110"/>
      <c r="H10" s="123">
        <f t="shared" si="0"/>
        <v>0</v>
      </c>
    </row>
    <row r="11" spans="1:8" ht="55.5" customHeight="1" x14ac:dyDescent="0.2">
      <c r="A11" s="43" t="s">
        <v>456</v>
      </c>
      <c r="B11" s="24" t="s">
        <v>457</v>
      </c>
      <c r="C11" s="19" t="s">
        <v>145</v>
      </c>
      <c r="D11" s="25" t="s">
        <v>304</v>
      </c>
      <c r="E11" s="21" t="s">
        <v>20</v>
      </c>
      <c r="F11" s="26">
        <v>22</v>
      </c>
      <c r="G11" s="110"/>
      <c r="H11" s="123">
        <f t="shared" si="0"/>
        <v>0</v>
      </c>
    </row>
    <row r="12" spans="1:8" ht="35.25" customHeight="1" x14ac:dyDescent="0.2">
      <c r="A12" s="45" t="s">
        <v>454</v>
      </c>
      <c r="B12" s="24" t="s">
        <v>459</v>
      </c>
      <c r="C12" s="19" t="s">
        <v>50</v>
      </c>
      <c r="D12" s="20" t="s">
        <v>51</v>
      </c>
      <c r="E12" s="21" t="s">
        <v>20</v>
      </c>
      <c r="F12" s="26">
        <v>24</v>
      </c>
      <c r="G12" s="110"/>
      <c r="H12" s="123">
        <f t="shared" si="0"/>
        <v>0</v>
      </c>
    </row>
    <row r="13" spans="1:8" ht="46.5" customHeight="1" x14ac:dyDescent="0.2">
      <c r="A13" s="24" t="s">
        <v>454</v>
      </c>
      <c r="B13" s="24" t="s">
        <v>459</v>
      </c>
      <c r="C13" s="19" t="s">
        <v>50</v>
      </c>
      <c r="D13" s="20" t="s">
        <v>51</v>
      </c>
      <c r="E13" s="21" t="s">
        <v>20</v>
      </c>
      <c r="F13" s="26">
        <v>24</v>
      </c>
      <c r="G13" s="110"/>
      <c r="H13" s="123">
        <f t="shared" si="0"/>
        <v>0</v>
      </c>
    </row>
    <row r="14" spans="1:8" ht="54" customHeight="1" x14ac:dyDescent="0.2">
      <c r="A14" s="30" t="s">
        <v>460</v>
      </c>
      <c r="B14" s="94" t="s">
        <v>461</v>
      </c>
      <c r="C14" s="31" t="s">
        <v>52</v>
      </c>
      <c r="D14" s="25" t="s">
        <v>196</v>
      </c>
      <c r="E14" s="32" t="s">
        <v>18</v>
      </c>
      <c r="F14" s="26">
        <v>16</v>
      </c>
      <c r="G14" s="110"/>
      <c r="H14" s="123">
        <f t="shared" si="0"/>
        <v>0</v>
      </c>
    </row>
    <row r="15" spans="1:8" ht="150.75" customHeight="1" x14ac:dyDescent="0.2">
      <c r="A15" s="45" t="s">
        <v>462</v>
      </c>
      <c r="B15" s="24" t="s">
        <v>463</v>
      </c>
      <c r="C15" s="31" t="s">
        <v>25</v>
      </c>
      <c r="D15" s="25" t="s">
        <v>46</v>
      </c>
      <c r="E15" s="21" t="s">
        <v>21</v>
      </c>
      <c r="F15" s="26">
        <v>15</v>
      </c>
      <c r="G15" s="110"/>
      <c r="H15" s="123">
        <f t="shared" si="0"/>
        <v>0</v>
      </c>
    </row>
    <row r="16" spans="1:8" ht="48.75" customHeight="1" x14ac:dyDescent="0.2">
      <c r="A16" s="43" t="s">
        <v>464</v>
      </c>
      <c r="B16" s="24" t="s">
        <v>465</v>
      </c>
      <c r="C16" s="19" t="s">
        <v>26</v>
      </c>
      <c r="D16" s="25" t="s">
        <v>95</v>
      </c>
      <c r="E16" s="21" t="s">
        <v>27</v>
      </c>
      <c r="F16" s="26">
        <v>5</v>
      </c>
      <c r="G16" s="110"/>
      <c r="H16" s="123">
        <f t="shared" si="0"/>
        <v>0</v>
      </c>
    </row>
    <row r="17" spans="1:8" ht="33.75" customHeight="1" x14ac:dyDescent="0.2">
      <c r="A17" s="45" t="s">
        <v>454</v>
      </c>
      <c r="B17" s="94" t="s">
        <v>467</v>
      </c>
      <c r="C17" s="19" t="s">
        <v>466</v>
      </c>
      <c r="D17" s="20" t="s">
        <v>153</v>
      </c>
      <c r="E17" s="21" t="s">
        <v>18</v>
      </c>
      <c r="F17" s="26">
        <v>16</v>
      </c>
      <c r="G17" s="110"/>
      <c r="H17" s="123">
        <f t="shared" si="0"/>
        <v>0</v>
      </c>
    </row>
    <row r="18" spans="1:8" ht="117" customHeight="1" x14ac:dyDescent="0.2">
      <c r="A18" s="24" t="s">
        <v>469</v>
      </c>
      <c r="B18" s="24" t="s">
        <v>470</v>
      </c>
      <c r="C18" s="19" t="s">
        <v>28</v>
      </c>
      <c r="D18" s="20" t="s">
        <v>468</v>
      </c>
      <c r="E18" s="21" t="s">
        <v>27</v>
      </c>
      <c r="F18" s="26">
        <v>44</v>
      </c>
      <c r="G18" s="110"/>
      <c r="H18" s="123">
        <f t="shared" si="0"/>
        <v>0</v>
      </c>
    </row>
    <row r="19" spans="1:8" ht="31.5" customHeight="1" x14ac:dyDescent="0.2">
      <c r="A19" s="43" t="s">
        <v>471</v>
      </c>
      <c r="B19" s="24" t="s">
        <v>472</v>
      </c>
      <c r="C19" s="31" t="s">
        <v>109</v>
      </c>
      <c r="D19" s="25" t="s">
        <v>165</v>
      </c>
      <c r="E19" s="32" t="s">
        <v>18</v>
      </c>
      <c r="F19" s="26">
        <v>5</v>
      </c>
      <c r="G19" s="110"/>
      <c r="H19" s="123">
        <f t="shared" si="0"/>
        <v>0</v>
      </c>
    </row>
    <row r="20" spans="1:8" ht="39" customHeight="1" x14ac:dyDescent="0.2">
      <c r="A20" s="43" t="s">
        <v>454</v>
      </c>
      <c r="B20" s="24" t="s">
        <v>473</v>
      </c>
      <c r="C20" s="19" t="s">
        <v>166</v>
      </c>
      <c r="D20" s="25" t="s">
        <v>167</v>
      </c>
      <c r="E20" s="21" t="s">
        <v>18</v>
      </c>
      <c r="F20" s="26">
        <v>34</v>
      </c>
      <c r="G20" s="110"/>
      <c r="H20" s="123">
        <f t="shared" si="0"/>
        <v>0</v>
      </c>
    </row>
    <row r="21" spans="1:8" ht="36.75" customHeight="1" x14ac:dyDescent="0.2">
      <c r="A21" s="45" t="s">
        <v>474</v>
      </c>
      <c r="B21" s="24" t="s">
        <v>475</v>
      </c>
      <c r="C21" s="19" t="s">
        <v>115</v>
      </c>
      <c r="D21" s="20" t="s">
        <v>222</v>
      </c>
      <c r="E21" s="21" t="s">
        <v>27</v>
      </c>
      <c r="F21" s="26">
        <v>11</v>
      </c>
      <c r="G21" s="110"/>
      <c r="H21" s="123">
        <f t="shared" si="0"/>
        <v>0</v>
      </c>
    </row>
    <row r="22" spans="1:8" ht="60" customHeight="1" x14ac:dyDescent="0.2">
      <c r="A22" s="24" t="s">
        <v>477</v>
      </c>
      <c r="B22" s="24" t="s">
        <v>478</v>
      </c>
      <c r="C22" s="19" t="s">
        <v>31</v>
      </c>
      <c r="D22" s="20" t="s">
        <v>476</v>
      </c>
      <c r="E22" s="21" t="s">
        <v>19</v>
      </c>
      <c r="F22" s="26">
        <v>26</v>
      </c>
      <c r="G22" s="110"/>
      <c r="H22" s="123">
        <f t="shared" si="0"/>
        <v>0</v>
      </c>
    </row>
    <row r="23" spans="1:8" ht="37.5" customHeight="1" x14ac:dyDescent="0.2">
      <c r="A23" s="43" t="s">
        <v>454</v>
      </c>
      <c r="B23" s="24" t="s">
        <v>480</v>
      </c>
      <c r="C23" s="31" t="s">
        <v>113</v>
      </c>
      <c r="D23" s="25" t="s">
        <v>479</v>
      </c>
      <c r="E23" s="32" t="s">
        <v>21</v>
      </c>
      <c r="F23" s="26">
        <v>3</v>
      </c>
      <c r="G23" s="110"/>
      <c r="H23" s="123">
        <f t="shared" si="0"/>
        <v>0</v>
      </c>
    </row>
    <row r="24" spans="1:8" ht="27.75" customHeight="1" x14ac:dyDescent="0.2">
      <c r="A24" s="45" t="s">
        <v>482</v>
      </c>
      <c r="B24" s="24" t="s">
        <v>481</v>
      </c>
      <c r="C24" s="31" t="s">
        <v>48</v>
      </c>
      <c r="D24" s="25" t="s">
        <v>58</v>
      </c>
      <c r="E24" s="21" t="s">
        <v>332</v>
      </c>
      <c r="F24" s="26">
        <v>3</v>
      </c>
      <c r="G24" s="110"/>
      <c r="H24" s="123">
        <f t="shared" si="0"/>
        <v>0</v>
      </c>
    </row>
    <row r="25" spans="1:8" ht="55.5" customHeight="1" x14ac:dyDescent="0.2">
      <c r="A25" s="43" t="s">
        <v>483</v>
      </c>
      <c r="B25" s="24" t="s">
        <v>484</v>
      </c>
      <c r="C25" s="19" t="s">
        <v>32</v>
      </c>
      <c r="D25" s="25" t="s">
        <v>444</v>
      </c>
      <c r="E25" s="21" t="s">
        <v>18</v>
      </c>
      <c r="F25" s="26">
        <v>7</v>
      </c>
      <c r="G25" s="110"/>
      <c r="H25" s="123">
        <f t="shared" ref="H25:H26" si="1">+G25*F25</f>
        <v>0</v>
      </c>
    </row>
    <row r="26" spans="1:8" ht="37.5" customHeight="1" x14ac:dyDescent="0.2">
      <c r="A26" s="45" t="s">
        <v>458</v>
      </c>
      <c r="B26" s="24" t="s">
        <v>264</v>
      </c>
      <c r="C26" s="19" t="s">
        <v>284</v>
      </c>
      <c r="D26" s="20" t="s">
        <v>285</v>
      </c>
      <c r="E26" s="21" t="s">
        <v>27</v>
      </c>
      <c r="F26" s="26">
        <v>6</v>
      </c>
      <c r="G26" s="110"/>
      <c r="H26" s="123">
        <f t="shared" si="1"/>
        <v>0</v>
      </c>
    </row>
    <row r="27" spans="1:8" ht="12" customHeight="1" thickBot="1" x14ac:dyDescent="0.25">
      <c r="A27" s="51"/>
      <c r="B27" s="52"/>
      <c r="C27" s="53"/>
      <c r="D27" s="54"/>
      <c r="E27" s="55"/>
      <c r="F27" s="56"/>
      <c r="G27" s="112"/>
      <c r="H27" s="113"/>
    </row>
    <row r="28" spans="1:8" ht="13.5" thickBot="1" x14ac:dyDescent="0.25">
      <c r="A28" s="58"/>
      <c r="B28" s="213"/>
      <c r="C28" s="214"/>
      <c r="D28" s="59"/>
      <c r="E28" s="60"/>
      <c r="F28" s="213" t="s">
        <v>33</v>
      </c>
      <c r="G28" s="215"/>
      <c r="H28" s="214"/>
    </row>
    <row r="29" spans="1:8" ht="12.75" x14ac:dyDescent="0.2">
      <c r="A29" s="58"/>
      <c r="B29" s="195" t="s">
        <v>11</v>
      </c>
      <c r="C29" s="195" t="s">
        <v>34</v>
      </c>
      <c r="D29" s="59"/>
      <c r="E29" s="61"/>
      <c r="F29" s="195" t="s">
        <v>15</v>
      </c>
      <c r="G29" s="197" t="s">
        <v>35</v>
      </c>
      <c r="H29" s="199" t="s">
        <v>36</v>
      </c>
    </row>
    <row r="30" spans="1:8" ht="13.5" thickBot="1" x14ac:dyDescent="0.25">
      <c r="A30" s="58"/>
      <c r="B30" s="196"/>
      <c r="C30" s="196"/>
      <c r="D30" s="59"/>
      <c r="E30" s="61"/>
      <c r="F30" s="196"/>
      <c r="G30" s="198"/>
      <c r="H30" s="200"/>
    </row>
    <row r="31" spans="1:8" ht="12.75" x14ac:dyDescent="0.2">
      <c r="A31" s="58"/>
      <c r="B31" s="124" t="str">
        <f>C7</f>
        <v>ROTS0003-01</v>
      </c>
      <c r="C31" s="125">
        <f>F7</f>
        <v>19</v>
      </c>
      <c r="D31" s="59"/>
      <c r="E31" s="61"/>
      <c r="F31" s="64"/>
      <c r="G31" s="114"/>
      <c r="H31" s="115"/>
    </row>
    <row r="32" spans="1:8" ht="12.75" x14ac:dyDescent="0.2">
      <c r="A32" s="58"/>
      <c r="B32" s="62" t="str">
        <f>C8</f>
        <v>ROTS0003-02</v>
      </c>
      <c r="C32" s="63">
        <f>F8</f>
        <v>29</v>
      </c>
      <c r="D32" s="59"/>
      <c r="E32" s="61"/>
      <c r="F32" s="64"/>
      <c r="G32" s="114"/>
      <c r="H32" s="115"/>
    </row>
    <row r="33" spans="1:8" ht="12.75" x14ac:dyDescent="0.2">
      <c r="A33" s="58"/>
      <c r="B33" s="62" t="str">
        <f t="shared" ref="B33:B50" si="2">C9</f>
        <v>ROTS0007-01</v>
      </c>
      <c r="C33" s="63">
        <f t="shared" ref="C33:C50" si="3">F9</f>
        <v>17</v>
      </c>
      <c r="D33" s="59"/>
      <c r="E33" s="61"/>
      <c r="F33" s="64"/>
      <c r="G33" s="114"/>
      <c r="H33" s="115"/>
    </row>
    <row r="34" spans="1:8" ht="12.75" x14ac:dyDescent="0.2">
      <c r="A34" s="58"/>
      <c r="B34" s="62" t="str">
        <f t="shared" si="2"/>
        <v>ROTS0008-03</v>
      </c>
      <c r="C34" s="63">
        <f t="shared" si="3"/>
        <v>2</v>
      </c>
      <c r="D34" s="59"/>
      <c r="E34" s="61"/>
      <c r="F34" s="64"/>
      <c r="G34" s="114"/>
      <c r="H34" s="115"/>
    </row>
    <row r="35" spans="1:8" ht="12.75" x14ac:dyDescent="0.2">
      <c r="A35" s="58"/>
      <c r="B35" s="62" t="str">
        <f t="shared" si="2"/>
        <v>ROTS0012-03</v>
      </c>
      <c r="C35" s="63">
        <f t="shared" si="3"/>
        <v>22</v>
      </c>
      <c r="D35" s="59"/>
      <c r="E35" s="61"/>
      <c r="F35" s="64"/>
      <c r="G35" s="114"/>
      <c r="H35" s="115"/>
    </row>
    <row r="36" spans="1:8" ht="12.75" x14ac:dyDescent="0.2">
      <c r="A36" s="58"/>
      <c r="B36" s="62" t="str">
        <f t="shared" si="2"/>
        <v>ROTS0012-05</v>
      </c>
      <c r="C36" s="63">
        <f t="shared" si="3"/>
        <v>24</v>
      </c>
      <c r="D36" s="59"/>
      <c r="E36" s="61"/>
      <c r="F36" s="64"/>
      <c r="G36" s="114"/>
      <c r="H36" s="115"/>
    </row>
    <row r="37" spans="1:8" ht="12.75" x14ac:dyDescent="0.2">
      <c r="A37" s="58"/>
      <c r="B37" s="62" t="str">
        <f t="shared" si="2"/>
        <v>ROTS0012-05</v>
      </c>
      <c r="C37" s="63">
        <f t="shared" si="3"/>
        <v>24</v>
      </c>
      <c r="D37" s="59"/>
      <c r="E37" s="61"/>
      <c r="F37" s="64"/>
      <c r="G37" s="114"/>
      <c r="H37" s="115"/>
    </row>
    <row r="38" spans="1:8" ht="12.75" x14ac:dyDescent="0.2">
      <c r="A38" s="58"/>
      <c r="B38" s="62" t="str">
        <f t="shared" si="2"/>
        <v>ROTS0014-02</v>
      </c>
      <c r="C38" s="63">
        <f t="shared" si="3"/>
        <v>16</v>
      </c>
      <c r="D38" s="59"/>
      <c r="E38" s="61"/>
      <c r="F38" s="64"/>
      <c r="G38" s="114"/>
      <c r="H38" s="115"/>
    </row>
    <row r="39" spans="1:8" ht="12.75" x14ac:dyDescent="0.2">
      <c r="A39" s="58"/>
      <c r="B39" s="62" t="str">
        <f t="shared" si="2"/>
        <v>ROTS0016-02</v>
      </c>
      <c r="C39" s="63">
        <f t="shared" si="3"/>
        <v>15</v>
      </c>
      <c r="D39" s="59"/>
      <c r="E39" s="61"/>
      <c r="F39" s="64"/>
      <c r="G39" s="114"/>
      <c r="H39" s="115"/>
    </row>
    <row r="40" spans="1:8" ht="12.75" x14ac:dyDescent="0.2">
      <c r="A40" s="58"/>
      <c r="B40" s="62" t="str">
        <f t="shared" si="2"/>
        <v>ROTS0019-01</v>
      </c>
      <c r="C40" s="63">
        <f t="shared" si="3"/>
        <v>5</v>
      </c>
      <c r="D40" s="59"/>
      <c r="E40" s="61"/>
      <c r="F40" s="64"/>
      <c r="G40" s="114"/>
      <c r="H40" s="115"/>
    </row>
    <row r="41" spans="1:8" ht="12.75" x14ac:dyDescent="0.2">
      <c r="A41" s="58"/>
      <c r="B41" s="62" t="str">
        <f t="shared" si="2"/>
        <v>ROTS037-01</v>
      </c>
      <c r="C41" s="63">
        <f t="shared" si="3"/>
        <v>16</v>
      </c>
      <c r="D41" s="59"/>
      <c r="E41" s="61"/>
      <c r="F41" s="64"/>
      <c r="G41" s="114"/>
      <c r="H41" s="115"/>
    </row>
    <row r="42" spans="1:8" ht="12.75" x14ac:dyDescent="0.2">
      <c r="A42" s="58"/>
      <c r="B42" s="62" t="str">
        <f t="shared" si="2"/>
        <v>ROTS0038-01</v>
      </c>
      <c r="C42" s="63">
        <f t="shared" si="3"/>
        <v>44</v>
      </c>
      <c r="D42" s="59"/>
      <c r="E42" s="61"/>
      <c r="F42" s="64"/>
      <c r="G42" s="114"/>
      <c r="H42" s="115"/>
    </row>
    <row r="43" spans="1:8" ht="12.75" x14ac:dyDescent="0.2">
      <c r="A43" s="58"/>
      <c r="B43" s="62" t="str">
        <f t="shared" si="2"/>
        <v>ROTS0059-01</v>
      </c>
      <c r="C43" s="63">
        <f t="shared" si="3"/>
        <v>5</v>
      </c>
      <c r="D43" s="59"/>
      <c r="E43" s="61"/>
      <c r="F43" s="64"/>
      <c r="G43" s="114"/>
      <c r="H43" s="115"/>
    </row>
    <row r="44" spans="1:8" ht="12.75" x14ac:dyDescent="0.2">
      <c r="A44" s="58"/>
      <c r="B44" s="62" t="str">
        <f t="shared" si="2"/>
        <v>ROTS0065-01</v>
      </c>
      <c r="C44" s="63">
        <f t="shared" si="3"/>
        <v>34</v>
      </c>
      <c r="D44" s="59"/>
      <c r="E44" s="61"/>
      <c r="F44" s="64"/>
      <c r="G44" s="114"/>
      <c r="H44" s="115"/>
    </row>
    <row r="45" spans="1:8" ht="12.75" x14ac:dyDescent="0.2">
      <c r="A45" s="58"/>
      <c r="B45" s="62" t="str">
        <f t="shared" si="2"/>
        <v>ROTS0068-02</v>
      </c>
      <c r="C45" s="63">
        <f t="shared" si="3"/>
        <v>11</v>
      </c>
      <c r="D45" s="59"/>
      <c r="E45" s="61"/>
      <c r="F45" s="64"/>
      <c r="G45" s="114"/>
      <c r="H45" s="115"/>
    </row>
    <row r="46" spans="1:8" ht="12.75" x14ac:dyDescent="0.2">
      <c r="A46" s="58"/>
      <c r="B46" s="62" t="str">
        <f t="shared" si="2"/>
        <v>ROTS0070-01</v>
      </c>
      <c r="C46" s="63">
        <f t="shared" si="3"/>
        <v>26</v>
      </c>
      <c r="D46" s="59"/>
      <c r="E46" s="61"/>
      <c r="F46" s="64"/>
      <c r="G46" s="114"/>
      <c r="H46" s="115"/>
    </row>
    <row r="47" spans="1:8" ht="12.75" x14ac:dyDescent="0.2">
      <c r="A47" s="58"/>
      <c r="B47" s="62" t="str">
        <f t="shared" si="2"/>
        <v>ROTS0071-02</v>
      </c>
      <c r="C47" s="63">
        <f t="shared" si="3"/>
        <v>3</v>
      </c>
      <c r="D47" s="59"/>
      <c r="E47" s="61"/>
      <c r="F47" s="64"/>
      <c r="G47" s="114"/>
      <c r="H47" s="115"/>
    </row>
    <row r="48" spans="1:8" ht="12.75" x14ac:dyDescent="0.2">
      <c r="A48" s="58"/>
      <c r="B48" s="62" t="str">
        <f t="shared" si="2"/>
        <v>ROTS0090-01</v>
      </c>
      <c r="C48" s="63">
        <f t="shared" si="3"/>
        <v>3</v>
      </c>
      <c r="D48" s="59"/>
      <c r="E48" s="61"/>
      <c r="F48" s="64"/>
      <c r="G48" s="114"/>
      <c r="H48" s="115"/>
    </row>
    <row r="49" spans="1:8" ht="12.75" x14ac:dyDescent="0.2">
      <c r="A49" s="58"/>
      <c r="B49" s="62" t="str">
        <f t="shared" si="2"/>
        <v>ROTS0091-01</v>
      </c>
      <c r="C49" s="63">
        <f t="shared" si="3"/>
        <v>7</v>
      </c>
      <c r="D49" s="59"/>
      <c r="E49" s="61"/>
      <c r="F49" s="64"/>
      <c r="G49" s="114"/>
      <c r="H49" s="115"/>
    </row>
    <row r="50" spans="1:8" ht="12.75" x14ac:dyDescent="0.2">
      <c r="A50" s="58"/>
      <c r="B50" s="62" t="str">
        <f t="shared" si="2"/>
        <v>ROTS0113-01</v>
      </c>
      <c r="C50" s="63">
        <f t="shared" si="3"/>
        <v>6</v>
      </c>
      <c r="D50" s="59"/>
      <c r="E50" s="61"/>
      <c r="F50" s="64"/>
      <c r="G50" s="114"/>
      <c r="H50" s="115"/>
    </row>
    <row r="51" spans="1:8" ht="13.5" thickBot="1" x14ac:dyDescent="0.25">
      <c r="A51" s="58"/>
      <c r="B51" s="71"/>
      <c r="C51" s="72"/>
      <c r="D51" s="59"/>
      <c r="E51" s="61"/>
      <c r="F51" s="64"/>
      <c r="G51" s="114"/>
      <c r="H51" s="115"/>
    </row>
    <row r="52" spans="1:8" s="78" customFormat="1" ht="12.75" x14ac:dyDescent="0.2">
      <c r="A52" s="73"/>
      <c r="B52" s="10"/>
      <c r="C52" s="10"/>
      <c r="D52" s="74"/>
      <c r="E52" s="75"/>
      <c r="F52" s="76" t="s">
        <v>37</v>
      </c>
      <c r="G52" s="116"/>
      <c r="H52" s="117"/>
    </row>
    <row r="53" spans="1:8" ht="11.25" customHeight="1" x14ac:dyDescent="0.2">
      <c r="A53" s="201" t="s">
        <v>38</v>
      </c>
      <c r="B53" s="202"/>
      <c r="C53" s="202"/>
      <c r="D53" s="202"/>
      <c r="E53" s="203"/>
      <c r="F53" s="190"/>
      <c r="G53" s="191"/>
      <c r="H53" s="115"/>
    </row>
    <row r="54" spans="1:8" s="81" customFormat="1" ht="28.5" customHeight="1" x14ac:dyDescent="0.2">
      <c r="A54" s="187"/>
      <c r="B54" s="188"/>
      <c r="C54" s="188"/>
      <c r="D54" s="188"/>
      <c r="E54" s="189"/>
      <c r="F54" s="190" t="s">
        <v>39</v>
      </c>
      <c r="G54" s="191"/>
      <c r="H54" s="118" t="s">
        <v>40</v>
      </c>
    </row>
    <row r="55" spans="1:8" s="81" customFormat="1" ht="54" customHeight="1" x14ac:dyDescent="0.2">
      <c r="A55" s="79"/>
      <c r="B55" s="192" t="s">
        <v>346</v>
      </c>
      <c r="C55" s="192"/>
      <c r="D55" s="192"/>
      <c r="E55" s="80"/>
      <c r="F55" s="193" t="s">
        <v>42</v>
      </c>
      <c r="G55" s="194"/>
      <c r="H55" s="118" t="s">
        <v>43</v>
      </c>
    </row>
    <row r="56" spans="1:8" s="81" customFormat="1" ht="13.5" thickBot="1" x14ac:dyDescent="0.25">
      <c r="A56" s="82"/>
      <c r="B56" s="83"/>
      <c r="C56" s="83"/>
      <c r="D56" s="84"/>
      <c r="E56" s="85"/>
      <c r="F56" s="86"/>
      <c r="G56" s="119"/>
      <c r="H56" s="120"/>
    </row>
  </sheetData>
  <mergeCells count="18">
    <mergeCell ref="H29:H30"/>
    <mergeCell ref="A53:E53"/>
    <mergeCell ref="F53:G53"/>
    <mergeCell ref="A2:H2"/>
    <mergeCell ref="A3:E3"/>
    <mergeCell ref="B4:C4"/>
    <mergeCell ref="A5:F5"/>
    <mergeCell ref="G5:H5"/>
    <mergeCell ref="B28:C28"/>
    <mergeCell ref="F28:H28"/>
    <mergeCell ref="A54:E54"/>
    <mergeCell ref="F54:G54"/>
    <mergeCell ref="B55:D55"/>
    <mergeCell ref="F55:G55"/>
    <mergeCell ref="B29:B30"/>
    <mergeCell ref="C29:C30"/>
    <mergeCell ref="F29:F30"/>
    <mergeCell ref="G29:G30"/>
  </mergeCells>
  <pageMargins left="0.25" right="0.25" top="0.75" bottom="0.75" header="0.3" footer="0.3"/>
  <pageSetup scale="7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0F2E-2844-41D9-A5A6-29F31FF2343F}">
  <sheetPr>
    <pageSetUpPr fitToPage="1"/>
  </sheetPr>
  <dimension ref="A1:K59"/>
  <sheetViews>
    <sheetView tabSelected="1" workbookViewId="0">
      <selection activeCell="D9" sqref="A1:XFD1048576"/>
    </sheetView>
  </sheetViews>
  <sheetFormatPr defaultColWidth="9" defaultRowHeight="11.25" x14ac:dyDescent="0.2"/>
  <cols>
    <col min="1" max="1" width="14.5703125" style="7" customWidth="1"/>
    <col min="2" max="2" width="25.5703125" style="89" customWidth="1"/>
    <col min="3" max="3" width="11.7109375" style="89" customWidth="1"/>
    <col min="4" max="4" width="37.140625" style="90" customWidth="1"/>
    <col min="5" max="5" width="9.85546875" style="91" customWidth="1"/>
    <col min="6" max="6" width="15.42578125" style="91" customWidth="1"/>
    <col min="7" max="7" width="10.42578125" style="121" customWidth="1"/>
    <col min="8" max="8" width="13.42578125" style="122" customWidth="1"/>
    <col min="9" max="9" width="2.42578125" style="7" customWidth="1"/>
    <col min="10" max="11" width="10.85546875" style="7" bestFit="1" customWidth="1"/>
    <col min="12" max="255" width="9" style="7"/>
    <col min="256" max="256" width="12" style="7" customWidth="1"/>
    <col min="257" max="257" width="16.5703125" style="7" customWidth="1"/>
    <col min="258" max="259" width="14.5703125" style="7" customWidth="1"/>
    <col min="260" max="260" width="13.85546875" style="7" customWidth="1"/>
    <col min="261" max="261" width="13.28515625" style="7" customWidth="1"/>
    <col min="262" max="262" width="18.85546875" style="7" customWidth="1"/>
    <col min="263" max="263" width="24.42578125" style="7" customWidth="1"/>
    <col min="264" max="264" width="2.42578125" style="7" customWidth="1"/>
    <col min="265" max="511" width="9" style="7"/>
    <col min="512" max="512" width="12" style="7" customWidth="1"/>
    <col min="513" max="513" width="16.5703125" style="7" customWidth="1"/>
    <col min="514" max="515" width="14.5703125" style="7" customWidth="1"/>
    <col min="516" max="516" width="13.85546875" style="7" customWidth="1"/>
    <col min="517" max="517" width="13.28515625" style="7" customWidth="1"/>
    <col min="518" max="518" width="18.85546875" style="7" customWidth="1"/>
    <col min="519" max="519" width="24.42578125" style="7" customWidth="1"/>
    <col min="520" max="520" width="2.42578125" style="7" customWidth="1"/>
    <col min="521" max="767" width="9" style="7"/>
    <col min="768" max="768" width="12" style="7" customWidth="1"/>
    <col min="769" max="769" width="16.5703125" style="7" customWidth="1"/>
    <col min="770" max="771" width="14.5703125" style="7" customWidth="1"/>
    <col min="772" max="772" width="13.85546875" style="7" customWidth="1"/>
    <col min="773" max="773" width="13.28515625" style="7" customWidth="1"/>
    <col min="774" max="774" width="18.85546875" style="7" customWidth="1"/>
    <col min="775" max="775" width="24.42578125" style="7" customWidth="1"/>
    <col min="776" max="776" width="2.42578125" style="7" customWidth="1"/>
    <col min="777" max="1023" width="9" style="7"/>
    <col min="1024" max="1024" width="12" style="7" customWidth="1"/>
    <col min="1025" max="1025" width="16.5703125" style="7" customWidth="1"/>
    <col min="1026" max="1027" width="14.5703125" style="7" customWidth="1"/>
    <col min="1028" max="1028" width="13.85546875" style="7" customWidth="1"/>
    <col min="1029" max="1029" width="13.28515625" style="7" customWidth="1"/>
    <col min="1030" max="1030" width="18.85546875" style="7" customWidth="1"/>
    <col min="1031" max="1031" width="24.42578125" style="7" customWidth="1"/>
    <col min="1032" max="1032" width="2.42578125" style="7" customWidth="1"/>
    <col min="1033" max="1279" width="9" style="7"/>
    <col min="1280" max="1280" width="12" style="7" customWidth="1"/>
    <col min="1281" max="1281" width="16.5703125" style="7" customWidth="1"/>
    <col min="1282" max="1283" width="14.5703125" style="7" customWidth="1"/>
    <col min="1284" max="1284" width="13.85546875" style="7" customWidth="1"/>
    <col min="1285" max="1285" width="13.28515625" style="7" customWidth="1"/>
    <col min="1286" max="1286" width="18.85546875" style="7" customWidth="1"/>
    <col min="1287" max="1287" width="24.42578125" style="7" customWidth="1"/>
    <col min="1288" max="1288" width="2.42578125" style="7" customWidth="1"/>
    <col min="1289" max="1535" width="9" style="7"/>
    <col min="1536" max="1536" width="12" style="7" customWidth="1"/>
    <col min="1537" max="1537" width="16.5703125" style="7" customWidth="1"/>
    <col min="1538" max="1539" width="14.5703125" style="7" customWidth="1"/>
    <col min="1540" max="1540" width="13.85546875" style="7" customWidth="1"/>
    <col min="1541" max="1541" width="13.28515625" style="7" customWidth="1"/>
    <col min="1542" max="1542" width="18.85546875" style="7" customWidth="1"/>
    <col min="1543" max="1543" width="24.42578125" style="7" customWidth="1"/>
    <col min="1544" max="1544" width="2.42578125" style="7" customWidth="1"/>
    <col min="1545" max="1791" width="9" style="7"/>
    <col min="1792" max="1792" width="12" style="7" customWidth="1"/>
    <col min="1793" max="1793" width="16.5703125" style="7" customWidth="1"/>
    <col min="1794" max="1795" width="14.5703125" style="7" customWidth="1"/>
    <col min="1796" max="1796" width="13.85546875" style="7" customWidth="1"/>
    <col min="1797" max="1797" width="13.28515625" style="7" customWidth="1"/>
    <col min="1798" max="1798" width="18.85546875" style="7" customWidth="1"/>
    <col min="1799" max="1799" width="24.42578125" style="7" customWidth="1"/>
    <col min="1800" max="1800" width="2.42578125" style="7" customWidth="1"/>
    <col min="1801" max="2047" width="9" style="7"/>
    <col min="2048" max="2048" width="12" style="7" customWidth="1"/>
    <col min="2049" max="2049" width="16.5703125" style="7" customWidth="1"/>
    <col min="2050" max="2051" width="14.5703125" style="7" customWidth="1"/>
    <col min="2052" max="2052" width="13.85546875" style="7" customWidth="1"/>
    <col min="2053" max="2053" width="13.28515625" style="7" customWidth="1"/>
    <col min="2054" max="2054" width="18.85546875" style="7" customWidth="1"/>
    <col min="2055" max="2055" width="24.42578125" style="7" customWidth="1"/>
    <col min="2056" max="2056" width="2.42578125" style="7" customWidth="1"/>
    <col min="2057" max="2303" width="9" style="7"/>
    <col min="2304" max="2304" width="12" style="7" customWidth="1"/>
    <col min="2305" max="2305" width="16.5703125" style="7" customWidth="1"/>
    <col min="2306" max="2307" width="14.5703125" style="7" customWidth="1"/>
    <col min="2308" max="2308" width="13.85546875" style="7" customWidth="1"/>
    <col min="2309" max="2309" width="13.28515625" style="7" customWidth="1"/>
    <col min="2310" max="2310" width="18.85546875" style="7" customWidth="1"/>
    <col min="2311" max="2311" width="24.42578125" style="7" customWidth="1"/>
    <col min="2312" max="2312" width="2.42578125" style="7" customWidth="1"/>
    <col min="2313" max="2559" width="9" style="7"/>
    <col min="2560" max="2560" width="12" style="7" customWidth="1"/>
    <col min="2561" max="2561" width="16.5703125" style="7" customWidth="1"/>
    <col min="2562" max="2563" width="14.5703125" style="7" customWidth="1"/>
    <col min="2564" max="2564" width="13.85546875" style="7" customWidth="1"/>
    <col min="2565" max="2565" width="13.28515625" style="7" customWidth="1"/>
    <col min="2566" max="2566" width="18.85546875" style="7" customWidth="1"/>
    <col min="2567" max="2567" width="24.42578125" style="7" customWidth="1"/>
    <col min="2568" max="2568" width="2.42578125" style="7" customWidth="1"/>
    <col min="2569" max="2815" width="9" style="7"/>
    <col min="2816" max="2816" width="12" style="7" customWidth="1"/>
    <col min="2817" max="2817" width="16.5703125" style="7" customWidth="1"/>
    <col min="2818" max="2819" width="14.5703125" style="7" customWidth="1"/>
    <col min="2820" max="2820" width="13.85546875" style="7" customWidth="1"/>
    <col min="2821" max="2821" width="13.28515625" style="7" customWidth="1"/>
    <col min="2822" max="2822" width="18.85546875" style="7" customWidth="1"/>
    <col min="2823" max="2823" width="24.42578125" style="7" customWidth="1"/>
    <col min="2824" max="2824" width="2.42578125" style="7" customWidth="1"/>
    <col min="2825" max="3071" width="9" style="7"/>
    <col min="3072" max="3072" width="12" style="7" customWidth="1"/>
    <col min="3073" max="3073" width="16.5703125" style="7" customWidth="1"/>
    <col min="3074" max="3075" width="14.5703125" style="7" customWidth="1"/>
    <col min="3076" max="3076" width="13.85546875" style="7" customWidth="1"/>
    <col min="3077" max="3077" width="13.28515625" style="7" customWidth="1"/>
    <col min="3078" max="3078" width="18.85546875" style="7" customWidth="1"/>
    <col min="3079" max="3079" width="24.42578125" style="7" customWidth="1"/>
    <col min="3080" max="3080" width="2.42578125" style="7" customWidth="1"/>
    <col min="3081" max="3327" width="9" style="7"/>
    <col min="3328" max="3328" width="12" style="7" customWidth="1"/>
    <col min="3329" max="3329" width="16.5703125" style="7" customWidth="1"/>
    <col min="3330" max="3331" width="14.5703125" style="7" customWidth="1"/>
    <col min="3332" max="3332" width="13.85546875" style="7" customWidth="1"/>
    <col min="3333" max="3333" width="13.28515625" style="7" customWidth="1"/>
    <col min="3334" max="3334" width="18.85546875" style="7" customWidth="1"/>
    <col min="3335" max="3335" width="24.42578125" style="7" customWidth="1"/>
    <col min="3336" max="3336" width="2.42578125" style="7" customWidth="1"/>
    <col min="3337" max="3583" width="9" style="7"/>
    <col min="3584" max="3584" width="12" style="7" customWidth="1"/>
    <col min="3585" max="3585" width="16.5703125" style="7" customWidth="1"/>
    <col min="3586" max="3587" width="14.5703125" style="7" customWidth="1"/>
    <col min="3588" max="3588" width="13.85546875" style="7" customWidth="1"/>
    <col min="3589" max="3589" width="13.28515625" style="7" customWidth="1"/>
    <col min="3590" max="3590" width="18.85546875" style="7" customWidth="1"/>
    <col min="3591" max="3591" width="24.42578125" style="7" customWidth="1"/>
    <col min="3592" max="3592" width="2.42578125" style="7" customWidth="1"/>
    <col min="3593" max="3839" width="9" style="7"/>
    <col min="3840" max="3840" width="12" style="7" customWidth="1"/>
    <col min="3841" max="3841" width="16.5703125" style="7" customWidth="1"/>
    <col min="3842" max="3843" width="14.5703125" style="7" customWidth="1"/>
    <col min="3844" max="3844" width="13.85546875" style="7" customWidth="1"/>
    <col min="3845" max="3845" width="13.28515625" style="7" customWidth="1"/>
    <col min="3846" max="3846" width="18.85546875" style="7" customWidth="1"/>
    <col min="3847" max="3847" width="24.42578125" style="7" customWidth="1"/>
    <col min="3848" max="3848" width="2.42578125" style="7" customWidth="1"/>
    <col min="3849" max="4095" width="9" style="7"/>
    <col min="4096" max="4096" width="12" style="7" customWidth="1"/>
    <col min="4097" max="4097" width="16.5703125" style="7" customWidth="1"/>
    <col min="4098" max="4099" width="14.5703125" style="7" customWidth="1"/>
    <col min="4100" max="4100" width="13.85546875" style="7" customWidth="1"/>
    <col min="4101" max="4101" width="13.28515625" style="7" customWidth="1"/>
    <col min="4102" max="4102" width="18.85546875" style="7" customWidth="1"/>
    <col min="4103" max="4103" width="24.42578125" style="7" customWidth="1"/>
    <col min="4104" max="4104" width="2.42578125" style="7" customWidth="1"/>
    <col min="4105" max="4351" width="9" style="7"/>
    <col min="4352" max="4352" width="12" style="7" customWidth="1"/>
    <col min="4353" max="4353" width="16.5703125" style="7" customWidth="1"/>
    <col min="4354" max="4355" width="14.5703125" style="7" customWidth="1"/>
    <col min="4356" max="4356" width="13.85546875" style="7" customWidth="1"/>
    <col min="4357" max="4357" width="13.28515625" style="7" customWidth="1"/>
    <col min="4358" max="4358" width="18.85546875" style="7" customWidth="1"/>
    <col min="4359" max="4359" width="24.42578125" style="7" customWidth="1"/>
    <col min="4360" max="4360" width="2.42578125" style="7" customWidth="1"/>
    <col min="4361" max="4607" width="9" style="7"/>
    <col min="4608" max="4608" width="12" style="7" customWidth="1"/>
    <col min="4609" max="4609" width="16.5703125" style="7" customWidth="1"/>
    <col min="4610" max="4611" width="14.5703125" style="7" customWidth="1"/>
    <col min="4612" max="4612" width="13.85546875" style="7" customWidth="1"/>
    <col min="4613" max="4613" width="13.28515625" style="7" customWidth="1"/>
    <col min="4614" max="4614" width="18.85546875" style="7" customWidth="1"/>
    <col min="4615" max="4615" width="24.42578125" style="7" customWidth="1"/>
    <col min="4616" max="4616" width="2.42578125" style="7" customWidth="1"/>
    <col min="4617" max="4863" width="9" style="7"/>
    <col min="4864" max="4864" width="12" style="7" customWidth="1"/>
    <col min="4865" max="4865" width="16.5703125" style="7" customWidth="1"/>
    <col min="4866" max="4867" width="14.5703125" style="7" customWidth="1"/>
    <col min="4868" max="4868" width="13.85546875" style="7" customWidth="1"/>
    <col min="4869" max="4869" width="13.28515625" style="7" customWidth="1"/>
    <col min="4870" max="4870" width="18.85546875" style="7" customWidth="1"/>
    <col min="4871" max="4871" width="24.42578125" style="7" customWidth="1"/>
    <col min="4872" max="4872" width="2.42578125" style="7" customWidth="1"/>
    <col min="4873" max="5119" width="9" style="7"/>
    <col min="5120" max="5120" width="12" style="7" customWidth="1"/>
    <col min="5121" max="5121" width="16.5703125" style="7" customWidth="1"/>
    <col min="5122" max="5123" width="14.5703125" style="7" customWidth="1"/>
    <col min="5124" max="5124" width="13.85546875" style="7" customWidth="1"/>
    <col min="5125" max="5125" width="13.28515625" style="7" customWidth="1"/>
    <col min="5126" max="5126" width="18.85546875" style="7" customWidth="1"/>
    <col min="5127" max="5127" width="24.42578125" style="7" customWidth="1"/>
    <col min="5128" max="5128" width="2.42578125" style="7" customWidth="1"/>
    <col min="5129" max="5375" width="9" style="7"/>
    <col min="5376" max="5376" width="12" style="7" customWidth="1"/>
    <col min="5377" max="5377" width="16.5703125" style="7" customWidth="1"/>
    <col min="5378" max="5379" width="14.5703125" style="7" customWidth="1"/>
    <col min="5380" max="5380" width="13.85546875" style="7" customWidth="1"/>
    <col min="5381" max="5381" width="13.28515625" style="7" customWidth="1"/>
    <col min="5382" max="5382" width="18.85546875" style="7" customWidth="1"/>
    <col min="5383" max="5383" width="24.42578125" style="7" customWidth="1"/>
    <col min="5384" max="5384" width="2.42578125" style="7" customWidth="1"/>
    <col min="5385" max="5631" width="9" style="7"/>
    <col min="5632" max="5632" width="12" style="7" customWidth="1"/>
    <col min="5633" max="5633" width="16.5703125" style="7" customWidth="1"/>
    <col min="5634" max="5635" width="14.5703125" style="7" customWidth="1"/>
    <col min="5636" max="5636" width="13.85546875" style="7" customWidth="1"/>
    <col min="5637" max="5637" width="13.28515625" style="7" customWidth="1"/>
    <col min="5638" max="5638" width="18.85546875" style="7" customWidth="1"/>
    <col min="5639" max="5639" width="24.42578125" style="7" customWidth="1"/>
    <col min="5640" max="5640" width="2.42578125" style="7" customWidth="1"/>
    <col min="5641" max="5887" width="9" style="7"/>
    <col min="5888" max="5888" width="12" style="7" customWidth="1"/>
    <col min="5889" max="5889" width="16.5703125" style="7" customWidth="1"/>
    <col min="5890" max="5891" width="14.5703125" style="7" customWidth="1"/>
    <col min="5892" max="5892" width="13.85546875" style="7" customWidth="1"/>
    <col min="5893" max="5893" width="13.28515625" style="7" customWidth="1"/>
    <col min="5894" max="5894" width="18.85546875" style="7" customWidth="1"/>
    <col min="5895" max="5895" width="24.42578125" style="7" customWidth="1"/>
    <col min="5896" max="5896" width="2.42578125" style="7" customWidth="1"/>
    <col min="5897" max="6143" width="9" style="7"/>
    <col min="6144" max="6144" width="12" style="7" customWidth="1"/>
    <col min="6145" max="6145" width="16.5703125" style="7" customWidth="1"/>
    <col min="6146" max="6147" width="14.5703125" style="7" customWidth="1"/>
    <col min="6148" max="6148" width="13.85546875" style="7" customWidth="1"/>
    <col min="6149" max="6149" width="13.28515625" style="7" customWidth="1"/>
    <col min="6150" max="6150" width="18.85546875" style="7" customWidth="1"/>
    <col min="6151" max="6151" width="24.42578125" style="7" customWidth="1"/>
    <col min="6152" max="6152" width="2.42578125" style="7" customWidth="1"/>
    <col min="6153" max="6399" width="9" style="7"/>
    <col min="6400" max="6400" width="12" style="7" customWidth="1"/>
    <col min="6401" max="6401" width="16.5703125" style="7" customWidth="1"/>
    <col min="6402" max="6403" width="14.5703125" style="7" customWidth="1"/>
    <col min="6404" max="6404" width="13.85546875" style="7" customWidth="1"/>
    <col min="6405" max="6405" width="13.28515625" style="7" customWidth="1"/>
    <col min="6406" max="6406" width="18.85546875" style="7" customWidth="1"/>
    <col min="6407" max="6407" width="24.42578125" style="7" customWidth="1"/>
    <col min="6408" max="6408" width="2.42578125" style="7" customWidth="1"/>
    <col min="6409" max="6655" width="9" style="7"/>
    <col min="6656" max="6656" width="12" style="7" customWidth="1"/>
    <col min="6657" max="6657" width="16.5703125" style="7" customWidth="1"/>
    <col min="6658" max="6659" width="14.5703125" style="7" customWidth="1"/>
    <col min="6660" max="6660" width="13.85546875" style="7" customWidth="1"/>
    <col min="6661" max="6661" width="13.28515625" style="7" customWidth="1"/>
    <col min="6662" max="6662" width="18.85546875" style="7" customWidth="1"/>
    <col min="6663" max="6663" width="24.42578125" style="7" customWidth="1"/>
    <col min="6664" max="6664" width="2.42578125" style="7" customWidth="1"/>
    <col min="6665" max="6911" width="9" style="7"/>
    <col min="6912" max="6912" width="12" style="7" customWidth="1"/>
    <col min="6913" max="6913" width="16.5703125" style="7" customWidth="1"/>
    <col min="6914" max="6915" width="14.5703125" style="7" customWidth="1"/>
    <col min="6916" max="6916" width="13.85546875" style="7" customWidth="1"/>
    <col min="6917" max="6917" width="13.28515625" style="7" customWidth="1"/>
    <col min="6918" max="6918" width="18.85546875" style="7" customWidth="1"/>
    <col min="6919" max="6919" width="24.42578125" style="7" customWidth="1"/>
    <col min="6920" max="6920" width="2.42578125" style="7" customWidth="1"/>
    <col min="6921" max="7167" width="9" style="7"/>
    <col min="7168" max="7168" width="12" style="7" customWidth="1"/>
    <col min="7169" max="7169" width="16.5703125" style="7" customWidth="1"/>
    <col min="7170" max="7171" width="14.5703125" style="7" customWidth="1"/>
    <col min="7172" max="7172" width="13.85546875" style="7" customWidth="1"/>
    <col min="7173" max="7173" width="13.28515625" style="7" customWidth="1"/>
    <col min="7174" max="7174" width="18.85546875" style="7" customWidth="1"/>
    <col min="7175" max="7175" width="24.42578125" style="7" customWidth="1"/>
    <col min="7176" max="7176" width="2.42578125" style="7" customWidth="1"/>
    <col min="7177" max="7423" width="9" style="7"/>
    <col min="7424" max="7424" width="12" style="7" customWidth="1"/>
    <col min="7425" max="7425" width="16.5703125" style="7" customWidth="1"/>
    <col min="7426" max="7427" width="14.5703125" style="7" customWidth="1"/>
    <col min="7428" max="7428" width="13.85546875" style="7" customWidth="1"/>
    <col min="7429" max="7429" width="13.28515625" style="7" customWidth="1"/>
    <col min="7430" max="7430" width="18.85546875" style="7" customWidth="1"/>
    <col min="7431" max="7431" width="24.42578125" style="7" customWidth="1"/>
    <col min="7432" max="7432" width="2.42578125" style="7" customWidth="1"/>
    <col min="7433" max="7679" width="9" style="7"/>
    <col min="7680" max="7680" width="12" style="7" customWidth="1"/>
    <col min="7681" max="7681" width="16.5703125" style="7" customWidth="1"/>
    <col min="7682" max="7683" width="14.5703125" style="7" customWidth="1"/>
    <col min="7684" max="7684" width="13.85546875" style="7" customWidth="1"/>
    <col min="7685" max="7685" width="13.28515625" style="7" customWidth="1"/>
    <col min="7686" max="7686" width="18.85546875" style="7" customWidth="1"/>
    <col min="7687" max="7687" width="24.42578125" style="7" customWidth="1"/>
    <col min="7688" max="7688" width="2.42578125" style="7" customWidth="1"/>
    <col min="7689" max="7935" width="9" style="7"/>
    <col min="7936" max="7936" width="12" style="7" customWidth="1"/>
    <col min="7937" max="7937" width="16.5703125" style="7" customWidth="1"/>
    <col min="7938" max="7939" width="14.5703125" style="7" customWidth="1"/>
    <col min="7940" max="7940" width="13.85546875" style="7" customWidth="1"/>
    <col min="7941" max="7941" width="13.28515625" style="7" customWidth="1"/>
    <col min="7942" max="7942" width="18.85546875" style="7" customWidth="1"/>
    <col min="7943" max="7943" width="24.42578125" style="7" customWidth="1"/>
    <col min="7944" max="7944" width="2.42578125" style="7" customWidth="1"/>
    <col min="7945" max="8191" width="9" style="7"/>
    <col min="8192" max="8192" width="12" style="7" customWidth="1"/>
    <col min="8193" max="8193" width="16.5703125" style="7" customWidth="1"/>
    <col min="8194" max="8195" width="14.5703125" style="7" customWidth="1"/>
    <col min="8196" max="8196" width="13.85546875" style="7" customWidth="1"/>
    <col min="8197" max="8197" width="13.28515625" style="7" customWidth="1"/>
    <col min="8198" max="8198" width="18.85546875" style="7" customWidth="1"/>
    <col min="8199" max="8199" width="24.42578125" style="7" customWidth="1"/>
    <col min="8200" max="8200" width="2.42578125" style="7" customWidth="1"/>
    <col min="8201" max="8447" width="9" style="7"/>
    <col min="8448" max="8448" width="12" style="7" customWidth="1"/>
    <col min="8449" max="8449" width="16.5703125" style="7" customWidth="1"/>
    <col min="8450" max="8451" width="14.5703125" style="7" customWidth="1"/>
    <col min="8452" max="8452" width="13.85546875" style="7" customWidth="1"/>
    <col min="8453" max="8453" width="13.28515625" style="7" customWidth="1"/>
    <col min="8454" max="8454" width="18.85546875" style="7" customWidth="1"/>
    <col min="8455" max="8455" width="24.42578125" style="7" customWidth="1"/>
    <col min="8456" max="8456" width="2.42578125" style="7" customWidth="1"/>
    <col min="8457" max="8703" width="9" style="7"/>
    <col min="8704" max="8704" width="12" style="7" customWidth="1"/>
    <col min="8705" max="8705" width="16.5703125" style="7" customWidth="1"/>
    <col min="8706" max="8707" width="14.5703125" style="7" customWidth="1"/>
    <col min="8708" max="8708" width="13.85546875" style="7" customWidth="1"/>
    <col min="8709" max="8709" width="13.28515625" style="7" customWidth="1"/>
    <col min="8710" max="8710" width="18.85546875" style="7" customWidth="1"/>
    <col min="8711" max="8711" width="24.42578125" style="7" customWidth="1"/>
    <col min="8712" max="8712" width="2.42578125" style="7" customWidth="1"/>
    <col min="8713" max="8959" width="9" style="7"/>
    <col min="8960" max="8960" width="12" style="7" customWidth="1"/>
    <col min="8961" max="8961" width="16.5703125" style="7" customWidth="1"/>
    <col min="8962" max="8963" width="14.5703125" style="7" customWidth="1"/>
    <col min="8964" max="8964" width="13.85546875" style="7" customWidth="1"/>
    <col min="8965" max="8965" width="13.28515625" style="7" customWidth="1"/>
    <col min="8966" max="8966" width="18.85546875" style="7" customWidth="1"/>
    <col min="8967" max="8967" width="24.42578125" style="7" customWidth="1"/>
    <col min="8968" max="8968" width="2.42578125" style="7" customWidth="1"/>
    <col min="8969" max="9215" width="9" style="7"/>
    <col min="9216" max="9216" width="12" style="7" customWidth="1"/>
    <col min="9217" max="9217" width="16.5703125" style="7" customWidth="1"/>
    <col min="9218" max="9219" width="14.5703125" style="7" customWidth="1"/>
    <col min="9220" max="9220" width="13.85546875" style="7" customWidth="1"/>
    <col min="9221" max="9221" width="13.28515625" style="7" customWidth="1"/>
    <col min="9222" max="9222" width="18.85546875" style="7" customWidth="1"/>
    <col min="9223" max="9223" width="24.42578125" style="7" customWidth="1"/>
    <col min="9224" max="9224" width="2.42578125" style="7" customWidth="1"/>
    <col min="9225" max="9471" width="9" style="7"/>
    <col min="9472" max="9472" width="12" style="7" customWidth="1"/>
    <col min="9473" max="9473" width="16.5703125" style="7" customWidth="1"/>
    <col min="9474" max="9475" width="14.5703125" style="7" customWidth="1"/>
    <col min="9476" max="9476" width="13.85546875" style="7" customWidth="1"/>
    <col min="9477" max="9477" width="13.28515625" style="7" customWidth="1"/>
    <col min="9478" max="9478" width="18.85546875" style="7" customWidth="1"/>
    <col min="9479" max="9479" width="24.42578125" style="7" customWidth="1"/>
    <col min="9480" max="9480" width="2.42578125" style="7" customWidth="1"/>
    <col min="9481" max="9727" width="9" style="7"/>
    <col min="9728" max="9728" width="12" style="7" customWidth="1"/>
    <col min="9729" max="9729" width="16.5703125" style="7" customWidth="1"/>
    <col min="9730" max="9731" width="14.5703125" style="7" customWidth="1"/>
    <col min="9732" max="9732" width="13.85546875" style="7" customWidth="1"/>
    <col min="9733" max="9733" width="13.28515625" style="7" customWidth="1"/>
    <col min="9734" max="9734" width="18.85546875" style="7" customWidth="1"/>
    <col min="9735" max="9735" width="24.42578125" style="7" customWidth="1"/>
    <col min="9736" max="9736" width="2.42578125" style="7" customWidth="1"/>
    <col min="9737" max="9983" width="9" style="7"/>
    <col min="9984" max="9984" width="12" style="7" customWidth="1"/>
    <col min="9985" max="9985" width="16.5703125" style="7" customWidth="1"/>
    <col min="9986" max="9987" width="14.5703125" style="7" customWidth="1"/>
    <col min="9988" max="9988" width="13.85546875" style="7" customWidth="1"/>
    <col min="9989" max="9989" width="13.28515625" style="7" customWidth="1"/>
    <col min="9990" max="9990" width="18.85546875" style="7" customWidth="1"/>
    <col min="9991" max="9991" width="24.42578125" style="7" customWidth="1"/>
    <col min="9992" max="9992" width="2.42578125" style="7" customWidth="1"/>
    <col min="9993" max="10239" width="9" style="7"/>
    <col min="10240" max="10240" width="12" style="7" customWidth="1"/>
    <col min="10241" max="10241" width="16.5703125" style="7" customWidth="1"/>
    <col min="10242" max="10243" width="14.5703125" style="7" customWidth="1"/>
    <col min="10244" max="10244" width="13.85546875" style="7" customWidth="1"/>
    <col min="10245" max="10245" width="13.28515625" style="7" customWidth="1"/>
    <col min="10246" max="10246" width="18.85546875" style="7" customWidth="1"/>
    <col min="10247" max="10247" width="24.42578125" style="7" customWidth="1"/>
    <col min="10248" max="10248" width="2.42578125" style="7" customWidth="1"/>
    <col min="10249" max="10495" width="9" style="7"/>
    <col min="10496" max="10496" width="12" style="7" customWidth="1"/>
    <col min="10497" max="10497" width="16.5703125" style="7" customWidth="1"/>
    <col min="10498" max="10499" width="14.5703125" style="7" customWidth="1"/>
    <col min="10500" max="10500" width="13.85546875" style="7" customWidth="1"/>
    <col min="10501" max="10501" width="13.28515625" style="7" customWidth="1"/>
    <col min="10502" max="10502" width="18.85546875" style="7" customWidth="1"/>
    <col min="10503" max="10503" width="24.42578125" style="7" customWidth="1"/>
    <col min="10504" max="10504" width="2.42578125" style="7" customWidth="1"/>
    <col min="10505" max="10751" width="9" style="7"/>
    <col min="10752" max="10752" width="12" style="7" customWidth="1"/>
    <col min="10753" max="10753" width="16.5703125" style="7" customWidth="1"/>
    <col min="10754" max="10755" width="14.5703125" style="7" customWidth="1"/>
    <col min="10756" max="10756" width="13.85546875" style="7" customWidth="1"/>
    <col min="10757" max="10757" width="13.28515625" style="7" customWidth="1"/>
    <col min="10758" max="10758" width="18.85546875" style="7" customWidth="1"/>
    <col min="10759" max="10759" width="24.42578125" style="7" customWidth="1"/>
    <col min="10760" max="10760" width="2.42578125" style="7" customWidth="1"/>
    <col min="10761" max="11007" width="9" style="7"/>
    <col min="11008" max="11008" width="12" style="7" customWidth="1"/>
    <col min="11009" max="11009" width="16.5703125" style="7" customWidth="1"/>
    <col min="11010" max="11011" width="14.5703125" style="7" customWidth="1"/>
    <col min="11012" max="11012" width="13.85546875" style="7" customWidth="1"/>
    <col min="11013" max="11013" width="13.28515625" style="7" customWidth="1"/>
    <col min="11014" max="11014" width="18.85546875" style="7" customWidth="1"/>
    <col min="11015" max="11015" width="24.42578125" style="7" customWidth="1"/>
    <col min="11016" max="11016" width="2.42578125" style="7" customWidth="1"/>
    <col min="11017" max="11263" width="9" style="7"/>
    <col min="11264" max="11264" width="12" style="7" customWidth="1"/>
    <col min="11265" max="11265" width="16.5703125" style="7" customWidth="1"/>
    <col min="11266" max="11267" width="14.5703125" style="7" customWidth="1"/>
    <col min="11268" max="11268" width="13.85546875" style="7" customWidth="1"/>
    <col min="11269" max="11269" width="13.28515625" style="7" customWidth="1"/>
    <col min="11270" max="11270" width="18.85546875" style="7" customWidth="1"/>
    <col min="11271" max="11271" width="24.42578125" style="7" customWidth="1"/>
    <col min="11272" max="11272" width="2.42578125" style="7" customWidth="1"/>
    <col min="11273" max="11519" width="9" style="7"/>
    <col min="11520" max="11520" width="12" style="7" customWidth="1"/>
    <col min="11521" max="11521" width="16.5703125" style="7" customWidth="1"/>
    <col min="11522" max="11523" width="14.5703125" style="7" customWidth="1"/>
    <col min="11524" max="11524" width="13.85546875" style="7" customWidth="1"/>
    <col min="11525" max="11525" width="13.28515625" style="7" customWidth="1"/>
    <col min="11526" max="11526" width="18.85546875" style="7" customWidth="1"/>
    <col min="11527" max="11527" width="24.42578125" style="7" customWidth="1"/>
    <col min="11528" max="11528" width="2.42578125" style="7" customWidth="1"/>
    <col min="11529" max="11775" width="9" style="7"/>
    <col min="11776" max="11776" width="12" style="7" customWidth="1"/>
    <col min="11777" max="11777" width="16.5703125" style="7" customWidth="1"/>
    <col min="11778" max="11779" width="14.5703125" style="7" customWidth="1"/>
    <col min="11780" max="11780" width="13.85546875" style="7" customWidth="1"/>
    <col min="11781" max="11781" width="13.28515625" style="7" customWidth="1"/>
    <col min="11782" max="11782" width="18.85546875" style="7" customWidth="1"/>
    <col min="11783" max="11783" width="24.42578125" style="7" customWidth="1"/>
    <col min="11784" max="11784" width="2.42578125" style="7" customWidth="1"/>
    <col min="11785" max="12031" width="9" style="7"/>
    <col min="12032" max="12032" width="12" style="7" customWidth="1"/>
    <col min="12033" max="12033" width="16.5703125" style="7" customWidth="1"/>
    <col min="12034" max="12035" width="14.5703125" style="7" customWidth="1"/>
    <col min="12036" max="12036" width="13.85546875" style="7" customWidth="1"/>
    <col min="12037" max="12037" width="13.28515625" style="7" customWidth="1"/>
    <col min="12038" max="12038" width="18.85546875" style="7" customWidth="1"/>
    <col min="12039" max="12039" width="24.42578125" style="7" customWidth="1"/>
    <col min="12040" max="12040" width="2.42578125" style="7" customWidth="1"/>
    <col min="12041" max="12287" width="9" style="7"/>
    <col min="12288" max="12288" width="12" style="7" customWidth="1"/>
    <col min="12289" max="12289" width="16.5703125" style="7" customWidth="1"/>
    <col min="12290" max="12291" width="14.5703125" style="7" customWidth="1"/>
    <col min="12292" max="12292" width="13.85546875" style="7" customWidth="1"/>
    <col min="12293" max="12293" width="13.28515625" style="7" customWidth="1"/>
    <col min="12294" max="12294" width="18.85546875" style="7" customWidth="1"/>
    <col min="12295" max="12295" width="24.42578125" style="7" customWidth="1"/>
    <col min="12296" max="12296" width="2.42578125" style="7" customWidth="1"/>
    <col min="12297" max="12543" width="9" style="7"/>
    <col min="12544" max="12544" width="12" style="7" customWidth="1"/>
    <col min="12545" max="12545" width="16.5703125" style="7" customWidth="1"/>
    <col min="12546" max="12547" width="14.5703125" style="7" customWidth="1"/>
    <col min="12548" max="12548" width="13.85546875" style="7" customWidth="1"/>
    <col min="12549" max="12549" width="13.28515625" style="7" customWidth="1"/>
    <col min="12550" max="12550" width="18.85546875" style="7" customWidth="1"/>
    <col min="12551" max="12551" width="24.42578125" style="7" customWidth="1"/>
    <col min="12552" max="12552" width="2.42578125" style="7" customWidth="1"/>
    <col min="12553" max="12799" width="9" style="7"/>
    <col min="12800" max="12800" width="12" style="7" customWidth="1"/>
    <col min="12801" max="12801" width="16.5703125" style="7" customWidth="1"/>
    <col min="12802" max="12803" width="14.5703125" style="7" customWidth="1"/>
    <col min="12804" max="12804" width="13.85546875" style="7" customWidth="1"/>
    <col min="12805" max="12805" width="13.28515625" style="7" customWidth="1"/>
    <col min="12806" max="12806" width="18.85546875" style="7" customWidth="1"/>
    <col min="12807" max="12807" width="24.42578125" style="7" customWidth="1"/>
    <col min="12808" max="12808" width="2.42578125" style="7" customWidth="1"/>
    <col min="12809" max="13055" width="9" style="7"/>
    <col min="13056" max="13056" width="12" style="7" customWidth="1"/>
    <col min="13057" max="13057" width="16.5703125" style="7" customWidth="1"/>
    <col min="13058" max="13059" width="14.5703125" style="7" customWidth="1"/>
    <col min="13060" max="13060" width="13.85546875" style="7" customWidth="1"/>
    <col min="13061" max="13061" width="13.28515625" style="7" customWidth="1"/>
    <col min="13062" max="13062" width="18.85546875" style="7" customWidth="1"/>
    <col min="13063" max="13063" width="24.42578125" style="7" customWidth="1"/>
    <col min="13064" max="13064" width="2.42578125" style="7" customWidth="1"/>
    <col min="13065" max="13311" width="9" style="7"/>
    <col min="13312" max="13312" width="12" style="7" customWidth="1"/>
    <col min="13313" max="13313" width="16.5703125" style="7" customWidth="1"/>
    <col min="13314" max="13315" width="14.5703125" style="7" customWidth="1"/>
    <col min="13316" max="13316" width="13.85546875" style="7" customWidth="1"/>
    <col min="13317" max="13317" width="13.28515625" style="7" customWidth="1"/>
    <col min="13318" max="13318" width="18.85546875" style="7" customWidth="1"/>
    <col min="13319" max="13319" width="24.42578125" style="7" customWidth="1"/>
    <col min="13320" max="13320" width="2.42578125" style="7" customWidth="1"/>
    <col min="13321" max="13567" width="9" style="7"/>
    <col min="13568" max="13568" width="12" style="7" customWidth="1"/>
    <col min="13569" max="13569" width="16.5703125" style="7" customWidth="1"/>
    <col min="13570" max="13571" width="14.5703125" style="7" customWidth="1"/>
    <col min="13572" max="13572" width="13.85546875" style="7" customWidth="1"/>
    <col min="13573" max="13573" width="13.28515625" style="7" customWidth="1"/>
    <col min="13574" max="13574" width="18.85546875" style="7" customWidth="1"/>
    <col min="13575" max="13575" width="24.42578125" style="7" customWidth="1"/>
    <col min="13576" max="13576" width="2.42578125" style="7" customWidth="1"/>
    <col min="13577" max="13823" width="9" style="7"/>
    <col min="13824" max="13824" width="12" style="7" customWidth="1"/>
    <col min="13825" max="13825" width="16.5703125" style="7" customWidth="1"/>
    <col min="13826" max="13827" width="14.5703125" style="7" customWidth="1"/>
    <col min="13828" max="13828" width="13.85546875" style="7" customWidth="1"/>
    <col min="13829" max="13829" width="13.28515625" style="7" customWidth="1"/>
    <col min="13830" max="13830" width="18.85546875" style="7" customWidth="1"/>
    <col min="13831" max="13831" width="24.42578125" style="7" customWidth="1"/>
    <col min="13832" max="13832" width="2.42578125" style="7" customWidth="1"/>
    <col min="13833" max="14079" width="9" style="7"/>
    <col min="14080" max="14080" width="12" style="7" customWidth="1"/>
    <col min="14081" max="14081" width="16.5703125" style="7" customWidth="1"/>
    <col min="14082" max="14083" width="14.5703125" style="7" customWidth="1"/>
    <col min="14084" max="14084" width="13.85546875" style="7" customWidth="1"/>
    <col min="14085" max="14085" width="13.28515625" style="7" customWidth="1"/>
    <col min="14086" max="14086" width="18.85546875" style="7" customWidth="1"/>
    <col min="14087" max="14087" width="24.42578125" style="7" customWidth="1"/>
    <col min="14088" max="14088" width="2.42578125" style="7" customWidth="1"/>
    <col min="14089" max="14335" width="9" style="7"/>
    <col min="14336" max="14336" width="12" style="7" customWidth="1"/>
    <col min="14337" max="14337" width="16.5703125" style="7" customWidth="1"/>
    <col min="14338" max="14339" width="14.5703125" style="7" customWidth="1"/>
    <col min="14340" max="14340" width="13.85546875" style="7" customWidth="1"/>
    <col min="14341" max="14341" width="13.28515625" style="7" customWidth="1"/>
    <col min="14342" max="14342" width="18.85546875" style="7" customWidth="1"/>
    <col min="14343" max="14343" width="24.42578125" style="7" customWidth="1"/>
    <col min="14344" max="14344" width="2.42578125" style="7" customWidth="1"/>
    <col min="14345" max="14591" width="9" style="7"/>
    <col min="14592" max="14592" width="12" style="7" customWidth="1"/>
    <col min="14593" max="14593" width="16.5703125" style="7" customWidth="1"/>
    <col min="14594" max="14595" width="14.5703125" style="7" customWidth="1"/>
    <col min="14596" max="14596" width="13.85546875" style="7" customWidth="1"/>
    <col min="14597" max="14597" width="13.28515625" style="7" customWidth="1"/>
    <col min="14598" max="14598" width="18.85546875" style="7" customWidth="1"/>
    <col min="14599" max="14599" width="24.42578125" style="7" customWidth="1"/>
    <col min="14600" max="14600" width="2.42578125" style="7" customWidth="1"/>
    <col min="14601" max="14847" width="9" style="7"/>
    <col min="14848" max="14848" width="12" style="7" customWidth="1"/>
    <col min="14849" max="14849" width="16.5703125" style="7" customWidth="1"/>
    <col min="14850" max="14851" width="14.5703125" style="7" customWidth="1"/>
    <col min="14852" max="14852" width="13.85546875" style="7" customWidth="1"/>
    <col min="14853" max="14853" width="13.28515625" style="7" customWidth="1"/>
    <col min="14854" max="14854" width="18.85546875" style="7" customWidth="1"/>
    <col min="14855" max="14855" width="24.42578125" style="7" customWidth="1"/>
    <col min="14856" max="14856" width="2.42578125" style="7" customWidth="1"/>
    <col min="14857" max="15103" width="9" style="7"/>
    <col min="15104" max="15104" width="12" style="7" customWidth="1"/>
    <col min="15105" max="15105" width="16.5703125" style="7" customWidth="1"/>
    <col min="15106" max="15107" width="14.5703125" style="7" customWidth="1"/>
    <col min="15108" max="15108" width="13.85546875" style="7" customWidth="1"/>
    <col min="15109" max="15109" width="13.28515625" style="7" customWidth="1"/>
    <col min="15110" max="15110" width="18.85546875" style="7" customWidth="1"/>
    <col min="15111" max="15111" width="24.42578125" style="7" customWidth="1"/>
    <col min="15112" max="15112" width="2.42578125" style="7" customWidth="1"/>
    <col min="15113" max="15359" width="9" style="7"/>
    <col min="15360" max="15360" width="12" style="7" customWidth="1"/>
    <col min="15361" max="15361" width="16.5703125" style="7" customWidth="1"/>
    <col min="15362" max="15363" width="14.5703125" style="7" customWidth="1"/>
    <col min="15364" max="15364" width="13.85546875" style="7" customWidth="1"/>
    <col min="15365" max="15365" width="13.28515625" style="7" customWidth="1"/>
    <col min="15366" max="15366" width="18.85546875" style="7" customWidth="1"/>
    <col min="15367" max="15367" width="24.42578125" style="7" customWidth="1"/>
    <col min="15368" max="15368" width="2.42578125" style="7" customWidth="1"/>
    <col min="15369" max="15615" width="9" style="7"/>
    <col min="15616" max="15616" width="12" style="7" customWidth="1"/>
    <col min="15617" max="15617" width="16.5703125" style="7" customWidth="1"/>
    <col min="15618" max="15619" width="14.5703125" style="7" customWidth="1"/>
    <col min="15620" max="15620" width="13.85546875" style="7" customWidth="1"/>
    <col min="15621" max="15621" width="13.28515625" style="7" customWidth="1"/>
    <col min="15622" max="15622" width="18.85546875" style="7" customWidth="1"/>
    <col min="15623" max="15623" width="24.42578125" style="7" customWidth="1"/>
    <col min="15624" max="15624" width="2.42578125" style="7" customWidth="1"/>
    <col min="15625" max="15871" width="9" style="7"/>
    <col min="15872" max="15872" width="12" style="7" customWidth="1"/>
    <col min="15873" max="15873" width="16.5703125" style="7" customWidth="1"/>
    <col min="15874" max="15875" width="14.5703125" style="7" customWidth="1"/>
    <col min="15876" max="15876" width="13.85546875" style="7" customWidth="1"/>
    <col min="15877" max="15877" width="13.28515625" style="7" customWidth="1"/>
    <col min="15878" max="15878" width="18.85546875" style="7" customWidth="1"/>
    <col min="15879" max="15879" width="24.42578125" style="7" customWidth="1"/>
    <col min="15880" max="15880" width="2.42578125" style="7" customWidth="1"/>
    <col min="15881" max="16127" width="9" style="7"/>
    <col min="16128" max="16128" width="12" style="7" customWidth="1"/>
    <col min="16129" max="16129" width="16.5703125" style="7" customWidth="1"/>
    <col min="16130" max="16131" width="14.5703125" style="7" customWidth="1"/>
    <col min="16132" max="16132" width="13.85546875" style="7" customWidth="1"/>
    <col min="16133" max="16133" width="13.28515625" style="7" customWidth="1"/>
    <col min="16134" max="16134" width="18.85546875" style="7" customWidth="1"/>
    <col min="16135" max="16135" width="24.42578125" style="7" customWidth="1"/>
    <col min="16136" max="16136" width="2.42578125" style="7" customWidth="1"/>
    <col min="16137" max="16384" width="9" style="7"/>
  </cols>
  <sheetData>
    <row r="1" spans="1:11" ht="12" customHeight="1" x14ac:dyDescent="0.2">
      <c r="A1" s="1"/>
      <c r="B1" s="2"/>
      <c r="C1" s="2"/>
      <c r="D1" s="3"/>
      <c r="E1" s="4"/>
      <c r="F1" s="4"/>
      <c r="G1" s="104"/>
      <c r="H1" s="105" t="s">
        <v>0</v>
      </c>
    </row>
    <row r="2" spans="1:11" s="8" customFormat="1" ht="12" customHeight="1" x14ac:dyDescent="0.2">
      <c r="A2" s="204" t="s">
        <v>1</v>
      </c>
      <c r="B2" s="205"/>
      <c r="C2" s="205"/>
      <c r="D2" s="205"/>
      <c r="E2" s="205"/>
      <c r="F2" s="205"/>
      <c r="G2" s="205"/>
      <c r="H2" s="206"/>
    </row>
    <row r="3" spans="1:11" ht="12" customHeight="1" x14ac:dyDescent="0.2">
      <c r="A3" s="201" t="s">
        <v>2</v>
      </c>
      <c r="B3" s="202"/>
      <c r="C3" s="202"/>
      <c r="D3" s="202"/>
      <c r="E3" s="202"/>
      <c r="F3" s="10"/>
      <c r="G3" s="106" t="s">
        <v>3</v>
      </c>
      <c r="H3" s="107"/>
    </row>
    <row r="4" spans="1:11" ht="12" customHeight="1" thickBot="1" x14ac:dyDescent="0.25">
      <c r="A4" s="9" t="s">
        <v>4</v>
      </c>
      <c r="B4" s="207">
        <v>1</v>
      </c>
      <c r="C4" s="207"/>
      <c r="D4" s="13" t="s">
        <v>5</v>
      </c>
      <c r="E4" s="10"/>
      <c r="F4" s="10"/>
      <c r="G4" s="106" t="s">
        <v>6</v>
      </c>
      <c r="H4" s="108"/>
    </row>
    <row r="5" spans="1:11" s="15" customFormat="1" ht="30.95" customHeight="1" thickBot="1" x14ac:dyDescent="0.25">
      <c r="A5" s="208" t="s">
        <v>7</v>
      </c>
      <c r="B5" s="209"/>
      <c r="C5" s="209"/>
      <c r="D5" s="209"/>
      <c r="E5" s="209"/>
      <c r="F5" s="210"/>
      <c r="G5" s="211" t="s">
        <v>8</v>
      </c>
      <c r="H5" s="212"/>
    </row>
    <row r="6" spans="1:11" ht="19.5" customHeight="1" thickBot="1" x14ac:dyDescent="0.25">
      <c r="A6" s="16" t="s">
        <v>9</v>
      </c>
      <c r="B6" s="17" t="s">
        <v>10</v>
      </c>
      <c r="C6" s="16" t="s">
        <v>11</v>
      </c>
      <c r="D6" s="17" t="s">
        <v>12</v>
      </c>
      <c r="E6" s="16" t="s">
        <v>13</v>
      </c>
      <c r="F6" s="17" t="s">
        <v>14</v>
      </c>
      <c r="G6" s="109" t="s">
        <v>15</v>
      </c>
      <c r="H6" s="109" t="s">
        <v>16</v>
      </c>
    </row>
    <row r="7" spans="1:11" ht="57" customHeight="1" x14ac:dyDescent="0.2">
      <c r="A7" s="43"/>
      <c r="B7" s="24"/>
      <c r="C7" s="19"/>
      <c r="D7" s="25"/>
      <c r="E7" s="21"/>
      <c r="F7" s="26"/>
      <c r="G7" s="110"/>
      <c r="H7" s="123"/>
    </row>
    <row r="8" spans="1:11" ht="51" customHeight="1" x14ac:dyDescent="0.2">
      <c r="A8" s="45"/>
      <c r="B8" s="24"/>
      <c r="C8" s="19"/>
      <c r="D8" s="25"/>
      <c r="E8" s="21"/>
      <c r="F8" s="26"/>
      <c r="G8" s="110"/>
      <c r="H8" s="123"/>
    </row>
    <row r="9" spans="1:11" ht="82.5" customHeight="1" x14ac:dyDescent="0.2">
      <c r="A9" s="23"/>
      <c r="B9" s="24"/>
      <c r="C9" s="19"/>
      <c r="D9" s="20"/>
      <c r="E9" s="21"/>
      <c r="F9" s="26"/>
      <c r="G9" s="110"/>
      <c r="H9" s="123"/>
    </row>
    <row r="10" spans="1:11" ht="24.75" customHeight="1" x14ac:dyDescent="0.2">
      <c r="A10" s="43"/>
      <c r="B10" s="24"/>
      <c r="C10" s="31"/>
      <c r="D10" s="25"/>
      <c r="E10" s="32"/>
      <c r="F10" s="26"/>
      <c r="G10" s="110"/>
      <c r="H10" s="123"/>
      <c r="K10" s="7" t="s">
        <v>65</v>
      </c>
    </row>
    <row r="11" spans="1:11" ht="22.5" customHeight="1" x14ac:dyDescent="0.2">
      <c r="A11" s="43"/>
      <c r="B11" s="24"/>
      <c r="C11" s="31"/>
      <c r="D11" s="25"/>
      <c r="E11" s="32"/>
      <c r="F11" s="26"/>
      <c r="G11" s="110"/>
      <c r="H11" s="123"/>
    </row>
    <row r="12" spans="1:11" ht="29.25" customHeight="1" x14ac:dyDescent="0.2">
      <c r="A12" s="43"/>
      <c r="B12" s="24"/>
      <c r="C12" s="31"/>
      <c r="D12" s="25"/>
      <c r="E12" s="32"/>
      <c r="F12" s="26"/>
      <c r="G12" s="110"/>
      <c r="H12" s="123"/>
    </row>
    <row r="13" spans="1:11" ht="84" customHeight="1" x14ac:dyDescent="0.2">
      <c r="A13" s="45"/>
      <c r="B13" s="24"/>
      <c r="C13" s="31"/>
      <c r="D13" s="25"/>
      <c r="E13" s="32"/>
      <c r="F13" s="26"/>
      <c r="G13" s="110"/>
      <c r="H13" s="123"/>
    </row>
    <row r="14" spans="1:11" ht="46.5" customHeight="1" x14ac:dyDescent="0.2">
      <c r="A14" s="45"/>
      <c r="B14" s="24"/>
      <c r="C14" s="31"/>
      <c r="D14" s="25"/>
      <c r="E14" s="21"/>
      <c r="F14" s="26"/>
      <c r="G14" s="110"/>
      <c r="H14" s="123"/>
    </row>
    <row r="15" spans="1:11" ht="29.25" customHeight="1" x14ac:dyDescent="0.2">
      <c r="A15" s="45"/>
      <c r="B15" s="24"/>
      <c r="C15" s="31"/>
      <c r="D15" s="25"/>
      <c r="E15" s="21"/>
      <c r="F15" s="26"/>
      <c r="G15" s="110"/>
      <c r="H15" s="123"/>
    </row>
    <row r="16" spans="1:11" ht="42.75" customHeight="1" x14ac:dyDescent="0.2">
      <c r="A16" s="45"/>
      <c r="B16" s="24"/>
      <c r="C16" s="31"/>
      <c r="D16" s="25"/>
      <c r="E16" s="32"/>
      <c r="F16" s="26"/>
      <c r="G16" s="110"/>
      <c r="H16" s="123"/>
    </row>
    <row r="17" spans="1:8" ht="77.25" customHeight="1" x14ac:dyDescent="0.2">
      <c r="A17" s="45"/>
      <c r="B17" s="94"/>
      <c r="C17" s="31"/>
      <c r="D17" s="25"/>
      <c r="E17" s="21"/>
      <c r="F17" s="26"/>
      <c r="G17" s="110"/>
      <c r="H17" s="123"/>
    </row>
    <row r="18" spans="1:8" ht="29.25" customHeight="1" x14ac:dyDescent="0.2">
      <c r="A18" s="43"/>
      <c r="B18" s="24"/>
      <c r="C18" s="31"/>
      <c r="D18" s="25"/>
      <c r="E18" s="21"/>
      <c r="F18" s="26"/>
      <c r="G18" s="110"/>
      <c r="H18" s="123"/>
    </row>
    <row r="19" spans="1:8" ht="24.75" customHeight="1" x14ac:dyDescent="0.2">
      <c r="A19" s="43"/>
      <c r="B19" s="24"/>
      <c r="C19" s="31"/>
      <c r="D19" s="25"/>
      <c r="E19" s="32"/>
      <c r="F19" s="26"/>
      <c r="G19" s="110"/>
      <c r="H19" s="123"/>
    </row>
    <row r="20" spans="1:8" ht="37.5" customHeight="1" x14ac:dyDescent="0.2">
      <c r="A20" s="45"/>
      <c r="B20" s="24"/>
      <c r="C20" s="31"/>
      <c r="D20" s="25"/>
      <c r="E20" s="21"/>
      <c r="F20" s="26"/>
      <c r="G20" s="110"/>
      <c r="H20" s="123"/>
    </row>
    <row r="21" spans="1:8" ht="45.75" customHeight="1" x14ac:dyDescent="0.2">
      <c r="A21" s="45"/>
      <c r="B21" s="24"/>
      <c r="C21" s="31"/>
      <c r="D21" s="25"/>
      <c r="E21" s="21"/>
      <c r="F21" s="26"/>
      <c r="G21" s="110"/>
      <c r="H21" s="123"/>
    </row>
    <row r="22" spans="1:8" ht="33" customHeight="1" x14ac:dyDescent="0.2">
      <c r="A22" s="43"/>
      <c r="B22" s="24"/>
      <c r="C22" s="31"/>
      <c r="D22" s="25"/>
      <c r="E22" s="32"/>
      <c r="F22" s="26"/>
      <c r="G22" s="110"/>
      <c r="H22" s="123"/>
    </row>
    <row r="23" spans="1:8" ht="42.75" customHeight="1" x14ac:dyDescent="0.2">
      <c r="A23" s="45"/>
      <c r="B23" s="24"/>
      <c r="C23" s="31"/>
      <c r="D23" s="25"/>
      <c r="E23" s="32"/>
      <c r="F23" s="26"/>
      <c r="G23" s="110"/>
      <c r="H23" s="123"/>
    </row>
    <row r="24" spans="1:8" ht="33.75" customHeight="1" x14ac:dyDescent="0.2">
      <c r="A24" s="45"/>
      <c r="B24" s="24"/>
      <c r="C24" s="31"/>
      <c r="D24" s="25"/>
      <c r="E24" s="21"/>
      <c r="F24" s="26"/>
      <c r="G24" s="110"/>
      <c r="H24" s="123"/>
    </row>
    <row r="25" spans="1:8" ht="29.25" customHeight="1" x14ac:dyDescent="0.2">
      <c r="A25" s="45"/>
      <c r="B25" s="24"/>
      <c r="C25" s="31"/>
      <c r="D25" s="25"/>
      <c r="E25" s="21"/>
      <c r="F25" s="26"/>
      <c r="G25" s="110"/>
      <c r="H25" s="123"/>
    </row>
    <row r="26" spans="1:8" ht="27.75" customHeight="1" x14ac:dyDescent="0.2">
      <c r="A26" s="45"/>
      <c r="B26" s="35"/>
      <c r="C26" s="31"/>
      <c r="D26" s="25"/>
      <c r="E26" s="32"/>
      <c r="F26" s="26"/>
      <c r="G26" s="110"/>
      <c r="H26" s="123"/>
    </row>
    <row r="27" spans="1:8" ht="46.5" customHeight="1" x14ac:dyDescent="0.2">
      <c r="A27" s="45"/>
      <c r="B27" s="35"/>
      <c r="C27" s="31"/>
      <c r="D27" s="25"/>
      <c r="E27" s="32"/>
      <c r="F27" s="26"/>
      <c r="G27" s="110"/>
      <c r="H27" s="123"/>
    </row>
    <row r="28" spans="1:8" ht="18.75" customHeight="1" x14ac:dyDescent="0.2">
      <c r="A28" s="45"/>
      <c r="B28" s="24"/>
      <c r="C28" s="31"/>
      <c r="D28" s="25"/>
      <c r="E28" s="21"/>
      <c r="F28" s="26"/>
      <c r="G28" s="110"/>
      <c r="H28" s="123"/>
    </row>
    <row r="29" spans="1:8" ht="21.75" customHeight="1" thickBot="1" x14ac:dyDescent="0.25">
      <c r="A29" s="51"/>
      <c r="B29" s="52"/>
      <c r="C29" s="53"/>
      <c r="D29" s="54"/>
      <c r="E29" s="55"/>
      <c r="F29" s="56"/>
      <c r="G29" s="112"/>
      <c r="H29" s="113">
        <v>74684.67</v>
      </c>
    </row>
    <row r="30" spans="1:8" ht="13.5" thickBot="1" x14ac:dyDescent="0.25">
      <c r="A30" s="58"/>
      <c r="B30" s="213"/>
      <c r="C30" s="214"/>
      <c r="D30" s="59"/>
      <c r="E30" s="60"/>
      <c r="F30" s="213" t="s">
        <v>33</v>
      </c>
      <c r="G30" s="215"/>
      <c r="H30" s="214"/>
    </row>
    <row r="31" spans="1:8" ht="12.75" x14ac:dyDescent="0.2">
      <c r="A31" s="58"/>
      <c r="B31" s="195" t="s">
        <v>11</v>
      </c>
      <c r="C31" s="195" t="s">
        <v>34</v>
      </c>
      <c r="D31" s="59"/>
      <c r="E31" s="61"/>
      <c r="F31" s="195" t="s">
        <v>15</v>
      </c>
      <c r="G31" s="197" t="s">
        <v>35</v>
      </c>
      <c r="H31" s="199" t="s">
        <v>36</v>
      </c>
    </row>
    <row r="32" spans="1:8" ht="13.5" thickBot="1" x14ac:dyDescent="0.25">
      <c r="A32" s="58"/>
      <c r="B32" s="196"/>
      <c r="C32" s="196"/>
      <c r="D32" s="59"/>
      <c r="E32" s="61"/>
      <c r="F32" s="196"/>
      <c r="G32" s="198"/>
      <c r="H32" s="200"/>
    </row>
    <row r="33" spans="1:8" ht="12.75" x14ac:dyDescent="0.2">
      <c r="A33" s="58"/>
      <c r="B33" s="124">
        <f>C7</f>
        <v>0</v>
      </c>
      <c r="C33" s="125">
        <f>F7</f>
        <v>0</v>
      </c>
      <c r="D33" s="59"/>
      <c r="E33" s="61"/>
      <c r="F33" s="64"/>
      <c r="G33" s="114"/>
      <c r="H33" s="115"/>
    </row>
    <row r="34" spans="1:8" ht="12.75" x14ac:dyDescent="0.2">
      <c r="A34" s="58"/>
      <c r="B34" s="62">
        <f>C8</f>
        <v>0</v>
      </c>
      <c r="C34" s="63">
        <f>F8</f>
        <v>0</v>
      </c>
      <c r="D34" s="59"/>
      <c r="E34" s="61"/>
      <c r="F34" s="64"/>
      <c r="G34" s="114"/>
      <c r="H34" s="115"/>
    </row>
    <row r="35" spans="1:8" ht="12.75" x14ac:dyDescent="0.2">
      <c r="A35" s="58"/>
      <c r="B35" s="62">
        <f t="shared" ref="B35:B53" si="0">C9</f>
        <v>0</v>
      </c>
      <c r="C35" s="63">
        <f t="shared" ref="C35:C53" si="1">F9</f>
        <v>0</v>
      </c>
      <c r="D35" s="59"/>
      <c r="E35" s="61"/>
      <c r="F35" s="64"/>
      <c r="G35" s="114"/>
      <c r="H35" s="115"/>
    </row>
    <row r="36" spans="1:8" ht="12.75" x14ac:dyDescent="0.2">
      <c r="A36" s="58"/>
      <c r="B36" s="62">
        <f t="shared" si="0"/>
        <v>0</v>
      </c>
      <c r="C36" s="63">
        <f t="shared" si="1"/>
        <v>0</v>
      </c>
      <c r="D36" s="59"/>
      <c r="E36" s="61"/>
      <c r="F36" s="64"/>
      <c r="G36" s="114"/>
      <c r="H36" s="115"/>
    </row>
    <row r="37" spans="1:8" ht="12.75" x14ac:dyDescent="0.2">
      <c r="A37" s="58"/>
      <c r="B37" s="62">
        <f t="shared" si="0"/>
        <v>0</v>
      </c>
      <c r="C37" s="63">
        <f t="shared" si="1"/>
        <v>0</v>
      </c>
      <c r="D37" s="59"/>
      <c r="E37" s="61"/>
      <c r="F37" s="64"/>
      <c r="G37" s="114"/>
      <c r="H37" s="115"/>
    </row>
    <row r="38" spans="1:8" ht="12.75" x14ac:dyDescent="0.2">
      <c r="A38" s="58"/>
      <c r="B38" s="62">
        <f t="shared" si="0"/>
        <v>0</v>
      </c>
      <c r="C38" s="63">
        <f t="shared" si="1"/>
        <v>0</v>
      </c>
      <c r="D38" s="59"/>
      <c r="E38" s="61"/>
      <c r="F38" s="64"/>
      <c r="G38" s="114"/>
      <c r="H38" s="115"/>
    </row>
    <row r="39" spans="1:8" ht="12.75" x14ac:dyDescent="0.2">
      <c r="A39" s="58"/>
      <c r="B39" s="62">
        <f t="shared" si="0"/>
        <v>0</v>
      </c>
      <c r="C39" s="63">
        <f t="shared" si="1"/>
        <v>0</v>
      </c>
      <c r="D39" s="59"/>
      <c r="E39" s="61"/>
      <c r="F39" s="64"/>
      <c r="G39" s="114"/>
      <c r="H39" s="115"/>
    </row>
    <row r="40" spans="1:8" ht="12.75" x14ac:dyDescent="0.2">
      <c r="A40" s="58"/>
      <c r="B40" s="62">
        <f t="shared" si="0"/>
        <v>0</v>
      </c>
      <c r="C40" s="63">
        <f t="shared" si="1"/>
        <v>0</v>
      </c>
      <c r="D40" s="59"/>
      <c r="E40" s="61"/>
      <c r="F40" s="64"/>
      <c r="G40" s="114"/>
      <c r="H40" s="115"/>
    </row>
    <row r="41" spans="1:8" ht="12.75" x14ac:dyDescent="0.2">
      <c r="A41" s="58"/>
      <c r="B41" s="62">
        <f t="shared" si="0"/>
        <v>0</v>
      </c>
      <c r="C41" s="63">
        <f t="shared" si="1"/>
        <v>0</v>
      </c>
      <c r="D41" s="59"/>
      <c r="E41" s="61"/>
      <c r="F41" s="64"/>
      <c r="G41" s="114"/>
      <c r="H41" s="115"/>
    </row>
    <row r="42" spans="1:8" ht="12.75" x14ac:dyDescent="0.2">
      <c r="A42" s="58"/>
      <c r="B42" s="62">
        <f t="shared" si="0"/>
        <v>0</v>
      </c>
      <c r="C42" s="63">
        <f t="shared" si="1"/>
        <v>0</v>
      </c>
      <c r="D42" s="59"/>
      <c r="E42" s="61"/>
      <c r="F42" s="64"/>
      <c r="G42" s="114"/>
      <c r="H42" s="115"/>
    </row>
    <row r="43" spans="1:8" ht="12.75" x14ac:dyDescent="0.2">
      <c r="A43" s="58"/>
      <c r="B43" s="62">
        <f t="shared" si="0"/>
        <v>0</v>
      </c>
      <c r="C43" s="63">
        <f t="shared" si="1"/>
        <v>0</v>
      </c>
      <c r="D43" s="59"/>
      <c r="E43" s="61"/>
      <c r="F43" s="64"/>
      <c r="G43" s="114"/>
      <c r="H43" s="115"/>
    </row>
    <row r="44" spans="1:8" ht="12.75" x14ac:dyDescent="0.2">
      <c r="A44" s="58"/>
      <c r="B44" s="62">
        <f t="shared" si="0"/>
        <v>0</v>
      </c>
      <c r="C44" s="63">
        <f t="shared" si="1"/>
        <v>0</v>
      </c>
      <c r="D44" s="59"/>
      <c r="E44" s="61"/>
      <c r="F44" s="64"/>
      <c r="G44" s="114"/>
      <c r="H44" s="115"/>
    </row>
    <row r="45" spans="1:8" ht="12.75" x14ac:dyDescent="0.2">
      <c r="A45" s="58"/>
      <c r="B45" s="62">
        <f t="shared" si="0"/>
        <v>0</v>
      </c>
      <c r="C45" s="63">
        <f t="shared" si="1"/>
        <v>0</v>
      </c>
      <c r="D45" s="59"/>
      <c r="E45" s="61"/>
      <c r="F45" s="64"/>
      <c r="G45" s="114"/>
      <c r="H45" s="115"/>
    </row>
    <row r="46" spans="1:8" ht="12.75" x14ac:dyDescent="0.2">
      <c r="A46" s="58"/>
      <c r="B46" s="62">
        <f t="shared" si="0"/>
        <v>0</v>
      </c>
      <c r="C46" s="63">
        <f t="shared" si="1"/>
        <v>0</v>
      </c>
      <c r="D46" s="59"/>
      <c r="E46" s="61"/>
      <c r="F46" s="64"/>
      <c r="G46" s="114"/>
      <c r="H46" s="115"/>
    </row>
    <row r="47" spans="1:8" ht="12.75" x14ac:dyDescent="0.2">
      <c r="A47" s="58"/>
      <c r="B47" s="62">
        <f t="shared" si="0"/>
        <v>0</v>
      </c>
      <c r="C47" s="63">
        <f t="shared" si="1"/>
        <v>0</v>
      </c>
      <c r="D47" s="59"/>
      <c r="E47" s="61"/>
      <c r="F47" s="64"/>
      <c r="G47" s="114"/>
      <c r="H47" s="115"/>
    </row>
    <row r="48" spans="1:8" ht="12.75" x14ac:dyDescent="0.2">
      <c r="A48" s="58"/>
      <c r="B48" s="62">
        <f t="shared" si="0"/>
        <v>0</v>
      </c>
      <c r="C48" s="63">
        <f t="shared" si="1"/>
        <v>0</v>
      </c>
      <c r="D48" s="59"/>
      <c r="E48" s="61"/>
      <c r="F48" s="64"/>
      <c r="G48" s="114"/>
      <c r="H48" s="115"/>
    </row>
    <row r="49" spans="1:8" ht="12.75" x14ac:dyDescent="0.2">
      <c r="A49" s="58"/>
      <c r="B49" s="62">
        <f t="shared" si="0"/>
        <v>0</v>
      </c>
      <c r="C49" s="63">
        <f t="shared" si="1"/>
        <v>0</v>
      </c>
      <c r="D49" s="59"/>
      <c r="E49" s="61"/>
      <c r="F49" s="64"/>
      <c r="G49" s="114"/>
      <c r="H49" s="115"/>
    </row>
    <row r="50" spans="1:8" ht="12.75" x14ac:dyDescent="0.2">
      <c r="A50" s="58"/>
      <c r="B50" s="62">
        <f t="shared" si="0"/>
        <v>0</v>
      </c>
      <c r="C50" s="63">
        <f t="shared" si="1"/>
        <v>0</v>
      </c>
      <c r="D50" s="59"/>
      <c r="E50" s="61"/>
      <c r="F50" s="64"/>
      <c r="G50" s="114"/>
      <c r="H50" s="115"/>
    </row>
    <row r="51" spans="1:8" ht="12.75" x14ac:dyDescent="0.2">
      <c r="A51" s="58"/>
      <c r="B51" s="62">
        <f t="shared" si="0"/>
        <v>0</v>
      </c>
      <c r="C51" s="63">
        <f t="shared" si="1"/>
        <v>0</v>
      </c>
      <c r="D51" s="59"/>
      <c r="E51" s="61"/>
      <c r="F51" s="64"/>
      <c r="G51" s="114"/>
      <c r="H51" s="115"/>
    </row>
    <row r="52" spans="1:8" ht="12.75" x14ac:dyDescent="0.2">
      <c r="A52" s="58"/>
      <c r="B52" s="62">
        <f t="shared" si="0"/>
        <v>0</v>
      </c>
      <c r="C52" s="63">
        <f t="shared" si="1"/>
        <v>0</v>
      </c>
      <c r="D52" s="59"/>
      <c r="E52" s="61"/>
      <c r="F52" s="64"/>
      <c r="G52" s="114"/>
      <c r="H52" s="115"/>
    </row>
    <row r="53" spans="1:8" ht="12.75" x14ac:dyDescent="0.2">
      <c r="A53" s="58"/>
      <c r="B53" s="62">
        <f t="shared" si="0"/>
        <v>0</v>
      </c>
      <c r="C53" s="63">
        <f t="shared" si="1"/>
        <v>0</v>
      </c>
      <c r="D53" s="59"/>
      <c r="E53" s="61"/>
      <c r="F53" s="64"/>
      <c r="G53" s="114"/>
      <c r="H53" s="115"/>
    </row>
    <row r="54" spans="1:8" ht="13.5" thickBot="1" x14ac:dyDescent="0.25">
      <c r="A54" s="58"/>
      <c r="B54" s="71"/>
      <c r="C54" s="72"/>
      <c r="D54" s="59"/>
      <c r="E54" s="61"/>
      <c r="F54" s="64"/>
      <c r="G54" s="114"/>
      <c r="H54" s="115"/>
    </row>
    <row r="55" spans="1:8" s="78" customFormat="1" ht="12.75" x14ac:dyDescent="0.2">
      <c r="A55" s="73"/>
      <c r="B55" s="10"/>
      <c r="C55" s="10"/>
      <c r="D55" s="74"/>
      <c r="E55" s="75"/>
      <c r="F55" s="76" t="s">
        <v>37</v>
      </c>
      <c r="G55" s="116"/>
      <c r="H55" s="117"/>
    </row>
    <row r="56" spans="1:8" ht="11.25" customHeight="1" x14ac:dyDescent="0.2">
      <c r="A56" s="201" t="s">
        <v>38</v>
      </c>
      <c r="B56" s="202"/>
      <c r="C56" s="202"/>
      <c r="D56" s="202"/>
      <c r="E56" s="203"/>
      <c r="F56" s="190"/>
      <c r="G56" s="191"/>
      <c r="H56" s="115"/>
    </row>
    <row r="57" spans="1:8" s="81" customFormat="1" ht="28.5" customHeight="1" x14ac:dyDescent="0.2">
      <c r="A57" s="187"/>
      <c r="B57" s="188"/>
      <c r="C57" s="188"/>
      <c r="D57" s="188"/>
      <c r="E57" s="189"/>
      <c r="F57" s="190" t="s">
        <v>39</v>
      </c>
      <c r="G57" s="191"/>
      <c r="H57" s="118" t="s">
        <v>40</v>
      </c>
    </row>
    <row r="58" spans="1:8" s="81" customFormat="1" ht="54" customHeight="1" x14ac:dyDescent="0.2">
      <c r="A58" s="79"/>
      <c r="B58" s="192" t="s">
        <v>346</v>
      </c>
      <c r="C58" s="192"/>
      <c r="D58" s="192"/>
      <c r="E58" s="80"/>
      <c r="F58" s="193" t="s">
        <v>486</v>
      </c>
      <c r="G58" s="194"/>
      <c r="H58" s="118" t="s">
        <v>43</v>
      </c>
    </row>
    <row r="59" spans="1:8" s="81" customFormat="1" ht="13.5" thickBot="1" x14ac:dyDescent="0.25">
      <c r="A59" s="82"/>
      <c r="B59" s="83"/>
      <c r="C59" s="83"/>
      <c r="D59" s="84"/>
      <c r="E59" s="85"/>
      <c r="F59" s="86"/>
      <c r="G59" s="119"/>
      <c r="H59" s="120"/>
    </row>
  </sheetData>
  <mergeCells count="18">
    <mergeCell ref="H31:H32"/>
    <mergeCell ref="A56:E56"/>
    <mergeCell ref="F56:G56"/>
    <mergeCell ref="A2:H2"/>
    <mergeCell ref="A3:E3"/>
    <mergeCell ref="B4:C4"/>
    <mergeCell ref="A5:F5"/>
    <mergeCell ref="G5:H5"/>
    <mergeCell ref="B30:C30"/>
    <mergeCell ref="F30:H30"/>
    <mergeCell ref="A57:E57"/>
    <mergeCell ref="F57:G57"/>
    <mergeCell ref="B58:D58"/>
    <mergeCell ref="F58:G58"/>
    <mergeCell ref="B31:B32"/>
    <mergeCell ref="C31:C32"/>
    <mergeCell ref="F31:F32"/>
    <mergeCell ref="G31:G32"/>
  </mergeCells>
  <phoneticPr fontId="19" type="noConversion"/>
  <pageMargins left="0.25" right="0.25" top="0.75" bottom="0.75" header="0.3" footer="0.3"/>
  <pageSetup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January</vt:lpstr>
      <vt:lpstr>February</vt:lpstr>
      <vt:lpstr>April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Kristopher Cacho</dc:creator>
  <cp:lastModifiedBy>Joseph Kristopher Cacho</cp:lastModifiedBy>
  <cp:lastPrinted>2026-03-02T09:37:00Z</cp:lastPrinted>
  <dcterms:created xsi:type="dcterms:W3CDTF">2024-10-09T05:39:27Z</dcterms:created>
  <dcterms:modified xsi:type="dcterms:W3CDTF">2026-03-13T07:25:08Z</dcterms:modified>
</cp:coreProperties>
</file>